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son\Desktop\BootCamp_Santander_Excel_com_IA\Projetos\PJ03 - DASHBOARD DE VENDAS DO XBOX COM EXCEL\"/>
    </mc:Choice>
  </mc:AlternateContent>
  <xr:revisionPtr revIDLastSave="0" documentId="13_ncr:1_{56E5F043-F974-4F71-8C5C-31AF85E72D03}" xr6:coauthVersionLast="47" xr6:coauthVersionMax="47" xr10:uidLastSave="{00000000-0000-0000-0000-000000000000}"/>
  <bookViews>
    <workbookView xWindow="-120" yWindow="-120" windowWidth="20730" windowHeight="1104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  <sheet name="Planos" sheetId="6" r:id="rId5"/>
  </sheets>
  <definedNames>
    <definedName name="SegmentaçãodeDados_Subscription_Type">#N/A</definedName>
  </definedNames>
  <calcPr calcId="191029"/>
  <pivotCaches>
    <pivotCache cacheId="1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E25" i="3"/>
  <c r="D61" i="3"/>
  <c r="E36" i="3"/>
  <c r="E71" i="3"/>
  <c r="E70" i="3"/>
  <c r="E68" i="3"/>
  <c r="E67" i="3"/>
</calcChain>
</file>

<file path=xl/sharedStrings.xml><?xml version="1.0" encoding="utf-8"?>
<sst xmlns="http://schemas.openxmlformats.org/spreadsheetml/2006/main" count="1849" uniqueCount="336">
  <si>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</si>
  <si>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</si>
  <si>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</si>
  <si>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</si>
  <si>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</si>
  <si>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</si>
  <si>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</si>
  <si>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</si>
  <si>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</si>
  <si>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</si>
  <si>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</si>
  <si>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</si>
  <si>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</si>
  <si>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</si>
  <si>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</si>
  <si>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</si>
  <si>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</si>
  <si>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</si>
  <si>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</si>
  <si>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</si>
  <si>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</si>
  <si>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</si>
  <si>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</si>
  <si>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</si>
  <si>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</si>
  <si>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</si>
  <si>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</si>
  <si>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</si>
  <si>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</si>
  <si>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</si>
  <si>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</si>
  <si>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</si>
  <si>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</si>
  <si>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</si>
  <si>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</si>
  <si>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</si>
  <si>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</si>
  <si>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</si>
  <si>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</si>
  <si>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</si>
  <si>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</si>
  <si>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</si>
  <si>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</si>
  <si>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</si>
  <si>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</si>
  <si>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</si>
  <si>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</si>
  <si>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</si>
  <si>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</si>
  <si>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</si>
  <si>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</si>
  <si>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</si>
  <si>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</si>
  <si>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</si>
  <si>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</si>
  <si>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</si>
  <si>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</si>
  <si>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</si>
  <si>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</si>
  <si>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</si>
  <si>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</si>
  <si>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</si>
  <si>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</si>
  <si>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</si>
  <si>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</si>
  <si>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</si>
  <si>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</si>
  <si>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</si>
  <si>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</si>
  <si>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</si>
  <si>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</si>
  <si>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</si>
  <si>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</si>
  <si>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</si>
  <si>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</si>
  <si>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</si>
  <si>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</si>
  <si>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</si>
  <si>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</si>
  <si>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</si>
  <si>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</si>
  <si>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</si>
  <si>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</si>
  <si>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</si>
  <si>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</si>
  <si>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</si>
  <si>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</si>
  <si>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</si>
  <si>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</si>
  <si>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</si>
  <si>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</si>
  <si>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</si>
  <si>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</si>
  <si>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</si>
  <si>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</si>
  <si>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</si>
  <si>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</si>
  <si>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</si>
  <si>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</si>
  <si>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</si>
  <si>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</si>
  <si>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</si>
  <si>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</si>
  <si>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</si>
  <si>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</si>
  <si>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</si>
  <si>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</si>
  <si>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</si>
  <si>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</si>
  <si>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</si>
  <si>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</si>
  <si>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</si>
  <si>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</si>
  <si>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</si>
  <si>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</si>
  <si>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</si>
  <si>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</si>
  <si>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</si>
  <si>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</si>
  <si>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</si>
  <si>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</si>
  <si>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</si>
  <si>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</si>
  <si>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</si>
  <si>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</si>
  <si>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</si>
  <si>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</si>
  <si>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</si>
  <si>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</si>
  <si>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</si>
  <si>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</si>
  <si>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</si>
  <si>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</si>
  <si>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</si>
  <si>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</si>
  <si>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</si>
  <si>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</si>
  <si>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</si>
  <si>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</si>
  <si>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</si>
  <si>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</si>
  <si>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</si>
  <si>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</si>
  <si>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</si>
  <si>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</si>
  <si>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</si>
  <si>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</si>
  <si>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</si>
  <si>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</si>
  <si>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</si>
  <si>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</si>
  <si>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</si>
  <si>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</si>
  <si>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</si>
  <si>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</si>
  <si>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</si>
  <si>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</si>
  <si>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</si>
  <si>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</si>
  <si>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</si>
  <si>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</si>
  <si>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</si>
  <si>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</si>
  <si>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</si>
  <si>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</si>
  <si>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</si>
  <si>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</si>
  <si>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</si>
  <si>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</si>
  <si>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</si>
  <si>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</si>
  <si>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</si>
  <si>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</si>
  <si>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</si>
  <si>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</si>
  <si>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</si>
  <si>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</si>
  <si>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</si>
  <si>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</si>
  <si>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</si>
  <si>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</si>
  <si>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</si>
  <si>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</si>
  <si>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</si>
  <si>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</si>
  <si>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</si>
  <si>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</si>
  <si>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</si>
  <si>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</si>
  <si>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</si>
  <si>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</si>
  <si>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</si>
  <si>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</si>
  <si>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</si>
  <si>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</si>
  <si>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</si>
  <si>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</si>
  <si>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</si>
  <si>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</si>
  <si>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</si>
  <si>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</si>
  <si>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</si>
  <si>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</si>
  <si>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</si>
  <si>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</si>
  <si>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</si>
  <si>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</si>
  <si>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</si>
  <si>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</si>
  <si>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</si>
  <si>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</si>
  <si>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</si>
  <si>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</si>
  <si>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</si>
  <si>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</si>
  <si>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</si>
  <si>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</si>
  <si>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</si>
  <si>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</si>
  <si>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</si>
  <si>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</si>
  <si>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</si>
  <si>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</si>
  <si>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</si>
  <si>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</si>
  <si>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</si>
  <si>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</si>
  <si>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</si>
  <si>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</si>
  <si>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</si>
  <si>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</si>
  <si>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</si>
  <si>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</si>
  <si>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</si>
  <si>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</si>
  <si>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</si>
  <si>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</si>
  <si>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</si>
  <si>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</si>
  <si>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</si>
  <si>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</si>
  <si>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</si>
  <si>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</si>
  <si>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</si>
  <si>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</si>
  <si>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</si>
  <si>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</si>
  <si>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</si>
  <si>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</si>
  <si>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</si>
  <si>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</si>
  <si>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</si>
  <si>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</si>
  <si>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</si>
  <si>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</si>
  <si>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</si>
  <si>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</si>
  <si>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</si>
  <si>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</si>
  <si>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</si>
  <si>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</si>
  <si>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</si>
  <si>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</si>
  <si>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</si>
  <si>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</si>
  <si>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</si>
  <si>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</si>
  <si>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</si>
  <si>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</si>
  <si>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</si>
  <si>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</si>
  <si>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</si>
  <si>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</si>
  <si>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</si>
  <si>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</si>
  <si>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</si>
  <si>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</si>
  <si>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</si>
  <si>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</si>
  <si>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</si>
  <si>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</si>
  <si>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</si>
  <si>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</si>
  <si>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</si>
  <si>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</si>
  <si>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</si>
  <si>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</si>
  <si>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</si>
  <si>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</si>
  <si>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</si>
  <si>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</si>
  <si>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</si>
  <si>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</si>
  <si>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</si>
  <si>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</si>
  <si>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</si>
  <si>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</si>
  <si>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</si>
  <si>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</si>
  <si>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</si>
  <si>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</si>
  <si>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</si>
  <si>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</si>
  <si>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</si>
  <si>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</si>
  <si>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</si>
  <si>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</si>
  <si>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</si>
  <si>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</si>
  <si>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</si>
  <si>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</si>
  <si>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Subscription Price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</si>
  <si>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</si>
  <si>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 )</t>
    </r>
  </si>
  <si>
    <t>Rótulos de Linha</t>
  </si>
  <si>
    <t>Total Geral</t>
  </si>
  <si>
    <t>(Tudo)</t>
  </si>
  <si>
    <t>Soma de Total Value</t>
  </si>
  <si>
    <r>
      <t xml:space="preserve">Pergunta de Negócio 2 -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 xml:space="preserve">planos anuais, </t>
    </r>
    <r>
      <rPr>
        <sz val="11"/>
        <color theme="1"/>
        <rFont val="Aptos Narrow"/>
        <family val="2"/>
        <scheme val="minor"/>
      </rPr>
      <t>separado por auto renovação não é por auto renovação</t>
    </r>
  </si>
  <si>
    <t>XBOX GAME PASS SUBSCRIPTIONS SALES</t>
  </si>
  <si>
    <t>Pergunta de Negócio 3 - Total de Vendas de Assinaturas do EA Play</t>
  </si>
  <si>
    <t>Soma de EA Play Season Pass</t>
  </si>
  <si>
    <t>Pergunta de Negócio 3 - Total de Vendas de Assinaturas do Minecraft Season Pass</t>
  </si>
  <si>
    <t>Soma de Minecraft Season Pass Price</t>
  </si>
  <si>
    <t>Contagem de Subscriber ID</t>
  </si>
  <si>
    <t>Pergunta de Negócio 4 - Attach Rate EA Season Pass</t>
  </si>
  <si>
    <t>Pergunta de Negócio 5 - Attach Rate Nibecraft Season Pass</t>
  </si>
  <si>
    <t>Pergunta de Negócio 6 - Receita Total de Season Pass Price</t>
  </si>
  <si>
    <t>Receita Total Pass</t>
  </si>
  <si>
    <t>Soma de Receita Total Pass</t>
  </si>
  <si>
    <t>Pergunta de Negócio 7 - Total de Assinantes</t>
  </si>
  <si>
    <t>XBOX GAME PASS SUBSCRIPTIONS</t>
  </si>
  <si>
    <t>Total Contagem de Subscriber ID</t>
  </si>
  <si>
    <t>Contagem de Subscriber ID2</t>
  </si>
  <si>
    <t>Total Contagem de Subscriber ID2</t>
  </si>
  <si>
    <t>Pergunta de Negócio 8 - Qual a quantidade e a porcentagem de assinantes com Renovação Automática (Auto Renewal)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</si>
</sst>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rgb="FF22C55E"/>
      <name val="Segoe UI"/>
      <family val="2"/>
    </font>
    <font>
      <u/>
      <sz val="11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6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  <xf numFmtId="0" fontId="6" fillId="0" borderId="0" applyNumberFormat="0" applyFill="0" applyBorder="0" applyAlignment="0" applyProtection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8" borderId="0" xfId="3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5" fillId="0" borderId="2" xfId="1" applyFont="1" applyBorder="1" applyAlignment="1">
      <alignment horizontal="left" indent="7"/>
    </xf>
    <xf numFmtId="10" fontId="0" fillId="0" borderId="0" xfId="0" applyNumberFormat="1"/>
    <xf numFmtId="0" fontId="6" fillId="4" borderId="0" xfId="4" applyFill="1"/>
    <xf numFmtId="0" fontId="0" fillId="0" borderId="0" xfId="0" applyNumberFormat="1"/>
    <xf numFmtId="0" fontId="0" fillId="0" borderId="0" xfId="0" applyAlignment="1">
      <alignment horizontal="left" indent="1"/>
    </xf>
    <xf numFmtId="10" fontId="0" fillId="0" borderId="0" xfId="5" applyNumberFormat="1" applyFont="1"/>
  </cellXfs>
  <cellStyles count="6">
    <cellStyle name="Hiperlink" xfId="4" builtinId="8"/>
    <cellStyle name="Moeda" xfId="2" builtinId="4"/>
    <cellStyle name="Neutro" xfId="3" builtinId="28"/>
    <cellStyle name="Normal" xfId="0" builtinId="0"/>
    <cellStyle name="Porcentagem" xfId="5" builtinId="5"/>
    <cellStyle name="Título 1" xfId="1" builtinId="16"/>
  </cellStyles>
  <dxfs count="17">
    <dxf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1628E1BD-CA4E-4F64-8A83-8A89CA56B11E}">
      <tableStyleElement type="wholeTable" dxfId="16"/>
      <tableStyleElement type="headerRow" dxfId="15"/>
    </tableStyle>
  </tableStyles>
  <colors>
    <mruColors>
      <color rgb="FF22C55E"/>
      <color rgb="FF2AE6B1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do Xbox.xlsx]C̳álculos!tbl_anual_total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0048056431061817E-2"/>
          <c:y val="0"/>
          <c:w val="0.90821511321094872"/>
          <c:h val="0.919799486085210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7F-4B97-BD10-9393D841A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3337999"/>
        <c:axId val="1383338479"/>
      </c:barChart>
      <c:catAx>
        <c:axId val="1383337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3338479"/>
        <c:crosses val="autoZero"/>
        <c:auto val="1"/>
        <c:lblAlgn val="ctr"/>
        <c:lblOffset val="100"/>
        <c:noMultiLvlLbl val="0"/>
      </c:catAx>
      <c:valAx>
        <c:axId val="1383338479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383337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Planos!B6"/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D&#819;ashboard!B6"/><Relationship Id="rId2" Type="http://schemas.openxmlformats.org/officeDocument/2006/relationships/image" Target="../media/image6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9</xdr:row>
      <xdr:rowOff>0</xdr:rowOff>
    </xdr:from>
    <xdr:to>
      <xdr:col>11</xdr:col>
      <xdr:colOff>304800</xdr:colOff>
      <xdr:row>10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304800</xdr:colOff>
      <xdr:row>10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23812</xdr:colOff>
      <xdr:row>0</xdr:row>
      <xdr:rowOff>83343</xdr:rowOff>
    </xdr:from>
    <xdr:to>
      <xdr:col>2</xdr:col>
      <xdr:colOff>571498</xdr:colOff>
      <xdr:row>3</xdr:row>
      <xdr:rowOff>100866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B4F818B-1FB2-484A-BADE-3B42A5C8EA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13" t="16306" r="71122" b="14974"/>
        <a:stretch>
          <a:fillRect/>
        </a:stretch>
      </xdr:blipFill>
      <xdr:spPr>
        <a:xfrm>
          <a:off x="1869281" y="83343"/>
          <a:ext cx="785811" cy="8747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197644</xdr:rowOff>
    </xdr:from>
    <xdr:to>
      <xdr:col>0</xdr:col>
      <xdr:colOff>1828800</xdr:colOff>
      <xdr:row>14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3861847F-D1B3-47F3-8AF5-612F8C5B98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615811"/>
              <a:ext cx="1828800" cy="15210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71438</xdr:colOff>
      <xdr:row>5</xdr:row>
      <xdr:rowOff>119063</xdr:rowOff>
    </xdr:from>
    <xdr:to>
      <xdr:col>9</xdr:col>
      <xdr:colOff>476251</xdr:colOff>
      <xdr:row>13</xdr:row>
      <xdr:rowOff>135732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0006C61E-7781-2DBF-37D7-FEE81FBDFE4E}"/>
            </a:ext>
          </a:extLst>
        </xdr:cNvPr>
        <xdr:cNvGrpSpPr/>
      </xdr:nvGrpSpPr>
      <xdr:grpSpPr>
        <a:xfrm>
          <a:off x="2166938" y="1272646"/>
          <a:ext cx="4701646" cy="1657086"/>
          <a:chOff x="2155032" y="1262063"/>
          <a:chExt cx="4655344" cy="1635919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257DD2B6-40C4-9B24-F50D-A9E2C5976E65}"/>
              </a:ext>
            </a:extLst>
          </xdr:cNvPr>
          <xdr:cNvSpPr/>
        </xdr:nvSpPr>
        <xdr:spPr>
          <a:xfrm>
            <a:off x="2155032" y="1262063"/>
            <a:ext cx="4643438" cy="1619249"/>
          </a:xfrm>
          <a:prstGeom prst="roundRect">
            <a:avLst>
              <a:gd name="adj" fmla="val 3764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5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0A4D29AA-8690-465A-B554-EF6111D03299}"/>
              </a:ext>
            </a:extLst>
          </xdr:cNvPr>
          <xdr:cNvSpPr/>
        </xdr:nvSpPr>
        <xdr:spPr>
          <a:xfrm>
            <a:off x="3344467" y="1783557"/>
            <a:ext cx="3086100" cy="1009650"/>
          </a:xfrm>
          <a:prstGeom prst="roundRect">
            <a:avLst>
              <a:gd name="adj" fmla="val 3764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472E8C0-FCA1-4FC7-AC8B-F9F297EFABBB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R$ 2.940,00 </a:t>
            </a:fld>
            <a:endParaRPr lang="pt-BR" sz="3600">
              <a:solidFill>
                <a:srgbClr val="22C55E"/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1F772F8C-B4DE-48F6-A220-638CB889EAB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96717" y="1678782"/>
            <a:ext cx="1219200" cy="1219200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E362632D-0F68-4887-83B9-53042A35102D}"/>
              </a:ext>
            </a:extLst>
          </xdr:cNvPr>
          <xdr:cNvSpPr/>
        </xdr:nvSpPr>
        <xdr:spPr>
          <a:xfrm>
            <a:off x="2155032" y="1262063"/>
            <a:ext cx="4655344" cy="47625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 editAs="absolute">
    <xdr:from>
      <xdr:col>10</xdr:col>
      <xdr:colOff>571500</xdr:colOff>
      <xdr:row>5</xdr:row>
      <xdr:rowOff>119063</xdr:rowOff>
    </xdr:from>
    <xdr:to>
      <xdr:col>18</xdr:col>
      <xdr:colOff>535782</xdr:colOff>
      <xdr:row>13</xdr:row>
      <xdr:rowOff>119062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55F84372-F83D-36BB-7611-A18E1A47827C}"/>
            </a:ext>
          </a:extLst>
        </xdr:cNvPr>
        <xdr:cNvGrpSpPr/>
      </xdr:nvGrpSpPr>
      <xdr:grpSpPr>
        <a:xfrm>
          <a:off x="7577667" y="1272646"/>
          <a:ext cx="4695032" cy="1640416"/>
          <a:chOff x="7512844" y="1273970"/>
          <a:chExt cx="4655344" cy="1619249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6A3FA39E-EEC4-A341-9C3C-F9AC7A738BFA}"/>
              </a:ext>
            </a:extLst>
          </xdr:cNvPr>
          <xdr:cNvGrpSpPr/>
        </xdr:nvGrpSpPr>
        <xdr:grpSpPr>
          <a:xfrm>
            <a:off x="7512844" y="1273970"/>
            <a:ext cx="4655344" cy="1619249"/>
            <a:chOff x="2155032" y="1262063"/>
            <a:chExt cx="4655344" cy="1619249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E4CD3E90-E0C4-1646-895D-C1425922994B}"/>
                </a:ext>
              </a:extLst>
            </xdr:cNvPr>
            <xdr:cNvSpPr/>
          </xdr:nvSpPr>
          <xdr:spPr>
            <a:xfrm>
              <a:off x="2155032" y="1262063"/>
              <a:ext cx="4643438" cy="1619249"/>
            </a:xfrm>
            <a:prstGeom prst="roundRect">
              <a:avLst>
                <a:gd name="adj" fmla="val 3764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6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B53A71D9-B296-93C8-ECB1-943683AAC405}"/>
                </a:ext>
              </a:extLst>
            </xdr:cNvPr>
            <xdr:cNvSpPr/>
          </xdr:nvSpPr>
          <xdr:spPr>
            <a:xfrm>
              <a:off x="3451622" y="1759744"/>
              <a:ext cx="3086100" cy="1009650"/>
            </a:xfrm>
            <a:prstGeom prst="roundRect">
              <a:avLst>
                <a:gd name="adj" fmla="val 3764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871BE86-4C3F-43F8-841F-46E75EDE0FB8}" type="TxLink">
                <a:rPr lang="en-US" sz="36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 R$ 3.880,00 </a:t>
              </a:fld>
              <a:endParaRPr lang="pt-BR" sz="88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7" name="Retângulo: Cantos Superiores Arredondados 16">
              <a:extLst>
                <a:ext uri="{FF2B5EF4-FFF2-40B4-BE49-F238E27FC236}">
                  <a16:creationId xmlns:a16="http://schemas.microsoft.com/office/drawing/2014/main" id="{326781F4-86D1-E5F5-8D32-318EAD3CC114}"/>
                </a:ext>
              </a:extLst>
            </xdr:cNvPr>
            <xdr:cNvSpPr/>
          </xdr:nvSpPr>
          <xdr:spPr>
            <a:xfrm>
              <a:off x="2155032" y="1262063"/>
              <a:ext cx="4655344" cy="476250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 SEASON PASS</a:t>
              </a:r>
            </a:p>
          </xdr:txBody>
        </xdr:sp>
      </xdr:grp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539000E0-A008-4979-A37C-E6DCD571CEA2}"/>
              </a:ext>
            </a:extLst>
          </xdr:cNvPr>
          <xdr:cNvGrpSpPr/>
        </xdr:nvGrpSpPr>
        <xdr:grpSpPr>
          <a:xfrm>
            <a:off x="7727155" y="1976438"/>
            <a:ext cx="1178720" cy="621508"/>
            <a:chOff x="3495675" y="5400674"/>
            <a:chExt cx="1549476" cy="752476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66C1991F-90CB-E555-E3E4-525261B2BFE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0" name="Gráfico 19">
              <a:extLst>
                <a:ext uri="{FF2B5EF4-FFF2-40B4-BE49-F238E27FC236}">
                  <a16:creationId xmlns:a16="http://schemas.microsoft.com/office/drawing/2014/main" id="{1A65C33E-0A89-5BAE-8FB5-D57A97DD6EC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95249</xdr:colOff>
      <xdr:row>14</xdr:row>
      <xdr:rowOff>35719</xdr:rowOff>
    </xdr:from>
    <xdr:to>
      <xdr:col>15</xdr:col>
      <xdr:colOff>42333</xdr:colOff>
      <xdr:row>33</xdr:row>
      <xdr:rowOff>95250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3D9B0B0D-8B7A-4DB6-8245-12F187402195}"/>
            </a:ext>
          </a:extLst>
        </xdr:cNvPr>
        <xdr:cNvGrpSpPr/>
      </xdr:nvGrpSpPr>
      <xdr:grpSpPr>
        <a:xfrm>
          <a:off x="2190749" y="3020219"/>
          <a:ext cx="7747001" cy="3679031"/>
          <a:chOff x="2190749" y="3020219"/>
          <a:chExt cx="10081948" cy="3679031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F481D75E-36EF-5668-BFE4-6587BEF70C2B}"/>
              </a:ext>
            </a:extLst>
          </xdr:cNvPr>
          <xdr:cNvGrpSpPr/>
        </xdr:nvGrpSpPr>
        <xdr:grpSpPr>
          <a:xfrm>
            <a:off x="2190750" y="3234530"/>
            <a:ext cx="10070042" cy="3464720"/>
            <a:chOff x="2274095" y="1297781"/>
            <a:chExt cx="4595812" cy="2786061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CB922262-3549-EA9F-6308-C2155B78E8BD}"/>
                </a:ext>
              </a:extLst>
            </xdr:cNvPr>
            <xdr:cNvSpPr/>
          </xdr:nvSpPr>
          <xdr:spPr>
            <a:xfrm>
              <a:off x="2274095" y="1297781"/>
              <a:ext cx="4595812" cy="2786061"/>
            </a:xfrm>
            <a:prstGeom prst="roundRect">
              <a:avLst>
                <a:gd name="adj" fmla="val 384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250E219E-E685-444A-99FE-44AEE16A2C71}"/>
                </a:ext>
              </a:extLst>
            </xdr:cNvPr>
            <xdr:cNvGraphicFramePr>
              <a:graphicFrameLocks/>
            </xdr:cNvGraphicFramePr>
          </xdr:nvGraphicFramePr>
          <xdr:xfrm>
            <a:off x="2367327" y="1527561"/>
            <a:ext cx="4497095" cy="254670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F9C1F771-DDE4-4ED2-9ED6-E4B648895207}"/>
              </a:ext>
            </a:extLst>
          </xdr:cNvPr>
          <xdr:cNvSpPr/>
        </xdr:nvSpPr>
        <xdr:spPr>
          <a:xfrm>
            <a:off x="2190749" y="3020219"/>
            <a:ext cx="10081948" cy="47625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XBOX GAME PASS</a:t>
            </a:r>
          </a:p>
        </xdr:txBody>
      </xdr:sp>
    </xdr:grpSp>
    <xdr:clientData/>
  </xdr:twoCellAnchor>
  <xdr:twoCellAnchor editAs="absolute">
    <xdr:from>
      <xdr:col>0</xdr:col>
      <xdr:colOff>523875</xdr:colOff>
      <xdr:row>0</xdr:row>
      <xdr:rowOff>178594</xdr:rowOff>
    </xdr:from>
    <xdr:to>
      <xdr:col>0</xdr:col>
      <xdr:colOff>1369219</xdr:colOff>
      <xdr:row>3</xdr:row>
      <xdr:rowOff>142875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C581B8EA-063D-4EAE-8122-A6924245F82C}"/>
            </a:ext>
          </a:extLst>
        </xdr:cNvPr>
        <xdr:cNvSpPr/>
      </xdr:nvSpPr>
      <xdr:spPr>
        <a:xfrm>
          <a:off x="523875" y="178594"/>
          <a:ext cx="845344" cy="821531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0</xdr:colOff>
      <xdr:row>3</xdr:row>
      <xdr:rowOff>190499</xdr:rowOff>
    </xdr:from>
    <xdr:to>
      <xdr:col>0</xdr:col>
      <xdr:colOff>1643062</xdr:colOff>
      <xdr:row>5</xdr:row>
      <xdr:rowOff>119062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id="{E5FBD4C8-161B-B0C2-F4E7-4B4A86BADB53}"/>
            </a:ext>
          </a:extLst>
        </xdr:cNvPr>
        <xdr:cNvSpPr/>
      </xdr:nvSpPr>
      <xdr:spPr>
        <a:xfrm>
          <a:off x="0" y="1047749"/>
          <a:ext cx="1643062" cy="2143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&gt;</a:t>
          </a:r>
          <a:r>
            <a:rPr lang="pt-BR" sz="1100" baseline="0"/>
            <a:t> bem vindo, Nikson</a:t>
          </a:r>
          <a:endParaRPr lang="pt-BR" sz="1100"/>
        </a:p>
      </xdr:txBody>
    </xdr:sp>
    <xdr:clientData/>
  </xdr:twoCellAnchor>
  <xdr:twoCellAnchor>
    <xdr:from>
      <xdr:col>2</xdr:col>
      <xdr:colOff>0</xdr:colOff>
      <xdr:row>2</xdr:row>
      <xdr:rowOff>226217</xdr:rowOff>
    </xdr:from>
    <xdr:to>
      <xdr:col>10</xdr:col>
      <xdr:colOff>23812</xdr:colOff>
      <xdr:row>4</xdr:row>
      <xdr:rowOff>59531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F80BAE26-2A56-F953-0EB6-844BB6C31B3D}"/>
            </a:ext>
          </a:extLst>
        </xdr:cNvPr>
        <xdr:cNvSpPr/>
      </xdr:nvSpPr>
      <xdr:spPr>
        <a:xfrm>
          <a:off x="2083594" y="845342"/>
          <a:ext cx="4881562" cy="26193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>
              <a:solidFill>
                <a:schemeClr val="bg2">
                  <a:lumMod val="50000"/>
                </a:schemeClr>
              </a:solidFill>
            </a:rPr>
            <a:t>Calculation</a:t>
          </a:r>
          <a:r>
            <a:rPr lang="pt-BR" sz="1100" baseline="0">
              <a:solidFill>
                <a:schemeClr val="bg2">
                  <a:lumMod val="50000"/>
                </a:schemeClr>
              </a:solidFill>
            </a:rPr>
            <a:t> period: 01/01/2024 - 31/12/2024 | Update date: 13/02/2026 19:54:00</a:t>
          </a:r>
          <a:endParaRPr lang="pt-BR" sz="11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15</xdr:col>
      <xdr:colOff>127001</xdr:colOff>
      <xdr:row>14</xdr:row>
      <xdr:rowOff>21167</xdr:rowOff>
    </xdr:from>
    <xdr:to>
      <xdr:col>18</xdr:col>
      <xdr:colOff>529167</xdr:colOff>
      <xdr:row>22</xdr:row>
      <xdr:rowOff>137583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C3C4EFFB-4906-3F70-8129-A7049517D23C}"/>
            </a:ext>
          </a:extLst>
        </xdr:cNvPr>
        <xdr:cNvGrpSpPr/>
      </xdr:nvGrpSpPr>
      <xdr:grpSpPr>
        <a:xfrm>
          <a:off x="10022418" y="3005667"/>
          <a:ext cx="2243666" cy="1640416"/>
          <a:chOff x="2155032" y="1262063"/>
          <a:chExt cx="4655344" cy="1619249"/>
        </a:xfrm>
      </xdr:grpSpPr>
      <xdr:sp macro="" textlink="">
        <xdr:nvSpPr>
          <xdr:cNvPr id="30" name="Retângulo: Cantos Arredondados 29">
            <a:extLst>
              <a:ext uri="{FF2B5EF4-FFF2-40B4-BE49-F238E27FC236}">
                <a16:creationId xmlns:a16="http://schemas.microsoft.com/office/drawing/2014/main" id="{8A128D69-CFD9-A954-983A-D6EFB5535FDF}"/>
              </a:ext>
            </a:extLst>
          </xdr:cNvPr>
          <xdr:cNvSpPr/>
        </xdr:nvSpPr>
        <xdr:spPr>
          <a:xfrm>
            <a:off x="2155032" y="1262063"/>
            <a:ext cx="4643438" cy="1619249"/>
          </a:xfrm>
          <a:prstGeom prst="roundRect">
            <a:avLst>
              <a:gd name="adj" fmla="val 3764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61">
        <xdr:nvSpPr>
          <xdr:cNvPr id="31" name="Retângulo: Cantos Arredondados 30">
            <a:extLst>
              <a:ext uri="{FF2B5EF4-FFF2-40B4-BE49-F238E27FC236}">
                <a16:creationId xmlns:a16="http://schemas.microsoft.com/office/drawing/2014/main" id="{A2161C9F-5FA6-D732-890F-D62E2A69E0FB}"/>
              </a:ext>
            </a:extLst>
          </xdr:cNvPr>
          <xdr:cNvSpPr/>
        </xdr:nvSpPr>
        <xdr:spPr>
          <a:xfrm>
            <a:off x="2792847" y="1749297"/>
            <a:ext cx="3086100" cy="1009650"/>
          </a:xfrm>
          <a:prstGeom prst="roundRect">
            <a:avLst>
              <a:gd name="adj" fmla="val 3764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356C6B9-740C-4927-AA90-464630DBEE3C}" type="TxLink">
              <a:rPr lang="en-US" sz="3600" b="0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295</a:t>
            </a:fld>
            <a:endParaRPr lang="pt-BR" sz="4130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32" name="Retângulo: Cantos Superiores Arredondados 31">
            <a:extLst>
              <a:ext uri="{FF2B5EF4-FFF2-40B4-BE49-F238E27FC236}">
                <a16:creationId xmlns:a16="http://schemas.microsoft.com/office/drawing/2014/main" id="{E4A3D67F-396C-4EF5-2E9F-8620F09624B8}"/>
              </a:ext>
            </a:extLst>
          </xdr:cNvPr>
          <xdr:cNvSpPr/>
        </xdr:nvSpPr>
        <xdr:spPr>
          <a:xfrm>
            <a:off x="2155032" y="1262063"/>
            <a:ext cx="4655344" cy="47625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</a:p>
        </xdr:txBody>
      </xdr:sp>
    </xdr:grpSp>
    <xdr:clientData/>
  </xdr:twoCellAnchor>
  <xdr:twoCellAnchor editAs="absolute">
    <xdr:from>
      <xdr:col>0</xdr:col>
      <xdr:colOff>127000</xdr:colOff>
      <xdr:row>13</xdr:row>
      <xdr:rowOff>169333</xdr:rowOff>
    </xdr:from>
    <xdr:to>
      <xdr:col>0</xdr:col>
      <xdr:colOff>1746250</xdr:colOff>
      <xdr:row>17</xdr:row>
      <xdr:rowOff>10583</xdr:rowOff>
    </xdr:to>
    <xdr:sp macro="" textlink="">
      <xdr:nvSpPr>
        <xdr:cNvPr id="33" name="Retângulo 3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1C40378-7E21-5655-4C70-330D2266B8FF}"/>
            </a:ext>
          </a:extLst>
        </xdr:cNvPr>
        <xdr:cNvSpPr/>
      </xdr:nvSpPr>
      <xdr:spPr>
        <a:xfrm>
          <a:off x="127000" y="2963333"/>
          <a:ext cx="1619250" cy="603250"/>
        </a:xfrm>
        <a:prstGeom prst="rect">
          <a:avLst/>
        </a:prstGeom>
        <a:solidFill>
          <a:srgbClr val="2AE6B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" panose="020B0502040204020203" pitchFamily="34" charset="0"/>
              <a:cs typeface="Segoe UI" panose="020B0502040204020203" pitchFamily="34" charset="0"/>
            </a:rPr>
            <a:t>Planos</a:t>
          </a:r>
        </a:p>
      </xdr:txBody>
    </xdr:sp>
    <xdr:clientData/>
  </xdr:twoCellAnchor>
  <xdr:twoCellAnchor>
    <xdr:from>
      <xdr:col>15</xdr:col>
      <xdr:colOff>148165</xdr:colOff>
      <xdr:row>23</xdr:row>
      <xdr:rowOff>42333</xdr:rowOff>
    </xdr:from>
    <xdr:to>
      <xdr:col>18</xdr:col>
      <xdr:colOff>560916</xdr:colOff>
      <xdr:row>33</xdr:row>
      <xdr:rowOff>74083</xdr:rowOff>
    </xdr:to>
    <xdr:grpSp>
      <xdr:nvGrpSpPr>
        <xdr:cNvPr id="38" name="Agrupar 37">
          <a:extLst>
            <a:ext uri="{FF2B5EF4-FFF2-40B4-BE49-F238E27FC236}">
              <a16:creationId xmlns:a16="http://schemas.microsoft.com/office/drawing/2014/main" id="{3A0E4790-B824-DC05-7B70-2E3C6742A921}"/>
            </a:ext>
          </a:extLst>
        </xdr:cNvPr>
        <xdr:cNvGrpSpPr/>
      </xdr:nvGrpSpPr>
      <xdr:grpSpPr>
        <a:xfrm>
          <a:off x="10043582" y="4741333"/>
          <a:ext cx="2254251" cy="1936750"/>
          <a:chOff x="10054166" y="4783667"/>
          <a:chExt cx="2254251" cy="1936750"/>
        </a:xfrm>
      </xdr:grpSpPr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9B77E757-DBC6-FE2F-B910-0774D0F9BA53}"/>
              </a:ext>
            </a:extLst>
          </xdr:cNvPr>
          <xdr:cNvGrpSpPr/>
        </xdr:nvGrpSpPr>
        <xdr:grpSpPr>
          <a:xfrm>
            <a:off x="10054168" y="4783667"/>
            <a:ext cx="2254249" cy="1936750"/>
            <a:chOff x="2155032" y="1262063"/>
            <a:chExt cx="4677303" cy="1619249"/>
          </a:xfrm>
        </xdr:grpSpPr>
        <xdr:sp macro="" textlink="">
          <xdr:nvSpPr>
            <xdr:cNvPr id="27" name="Retângulo: Cantos Arredondados 26">
              <a:extLst>
                <a:ext uri="{FF2B5EF4-FFF2-40B4-BE49-F238E27FC236}">
                  <a16:creationId xmlns:a16="http://schemas.microsoft.com/office/drawing/2014/main" id="{700380E2-B9D1-953B-0350-9A446417CE1C}"/>
                </a:ext>
              </a:extLst>
            </xdr:cNvPr>
            <xdr:cNvSpPr/>
          </xdr:nvSpPr>
          <xdr:spPr>
            <a:xfrm>
              <a:off x="2155032" y="1262063"/>
              <a:ext cx="4643438" cy="1619249"/>
            </a:xfrm>
            <a:prstGeom prst="roundRect">
              <a:avLst>
                <a:gd name="adj" fmla="val 3764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70">
          <xdr:nvSpPr>
            <xdr:cNvPr id="28" name="Retângulo: Cantos Arredondados 27">
              <a:extLst>
                <a:ext uri="{FF2B5EF4-FFF2-40B4-BE49-F238E27FC236}">
                  <a16:creationId xmlns:a16="http://schemas.microsoft.com/office/drawing/2014/main" id="{1625C52A-BF97-28EE-6CF4-70323299FA62}"/>
                </a:ext>
              </a:extLst>
            </xdr:cNvPr>
            <xdr:cNvSpPr/>
          </xdr:nvSpPr>
          <xdr:spPr>
            <a:xfrm>
              <a:off x="2880683" y="1748722"/>
              <a:ext cx="3086100" cy="505868"/>
            </a:xfrm>
            <a:prstGeom prst="roundRect">
              <a:avLst>
                <a:gd name="adj" fmla="val 3764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C9AFA508-13A1-448A-BD07-76A7FA86180F}" type="TxLink">
                <a:rPr lang="en-US" sz="3600" b="0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148</a:t>
              </a:fld>
              <a:endParaRPr lang="pt-BR" sz="3600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29" name="Retângulo: Cantos Superiores Arredondados 28">
              <a:extLst>
                <a:ext uri="{FF2B5EF4-FFF2-40B4-BE49-F238E27FC236}">
                  <a16:creationId xmlns:a16="http://schemas.microsoft.com/office/drawing/2014/main" id="{5E971E0D-F060-EBA5-B00B-933ADC645EB3}"/>
                </a:ext>
              </a:extLst>
            </xdr:cNvPr>
            <xdr:cNvSpPr/>
          </xdr:nvSpPr>
          <xdr:spPr>
            <a:xfrm>
              <a:off x="2155032" y="1262063"/>
              <a:ext cx="4655344" cy="476250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SUBSCRIPTIONS AUTO RENEWAL</a:t>
              </a:r>
            </a:p>
          </xdr:txBody>
        </xdr:sp>
        <xdr:sp macro="" textlink="C̳álculos!E71">
          <xdr:nvSpPr>
            <xdr:cNvPr id="34" name="Retângulo: Cantos Arredondados 33">
              <a:extLst>
                <a:ext uri="{FF2B5EF4-FFF2-40B4-BE49-F238E27FC236}">
                  <a16:creationId xmlns:a16="http://schemas.microsoft.com/office/drawing/2014/main" id="{8AD49C0D-2E5C-8BC9-EDD8-7007C39C51AC}"/>
                </a:ext>
              </a:extLst>
            </xdr:cNvPr>
            <xdr:cNvSpPr/>
          </xdr:nvSpPr>
          <xdr:spPr>
            <a:xfrm>
              <a:off x="2242866" y="2394651"/>
              <a:ext cx="4589469" cy="452779"/>
            </a:xfrm>
            <a:prstGeom prst="roundRect">
              <a:avLst>
                <a:gd name="adj" fmla="val 3764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6314D13-F9C6-4F26-80AD-60EE52B4F633}" type="TxLink">
                <a:rPr lang="en-US" sz="3600" b="0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50,17%</a:t>
              </a:fld>
              <a:endParaRPr lang="pt-BR" sz="3600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cxnSp macro="">
        <xdr:nvCxnSpPr>
          <xdr:cNvPr id="36" name="Conector reto 35">
            <a:extLst>
              <a:ext uri="{FF2B5EF4-FFF2-40B4-BE49-F238E27FC236}">
                <a16:creationId xmlns:a16="http://schemas.microsoft.com/office/drawing/2014/main" id="{475DB8C4-ADF6-8C2A-8BE3-274151234DE7}"/>
              </a:ext>
            </a:extLst>
          </xdr:cNvPr>
          <xdr:cNvCxnSpPr/>
        </xdr:nvCxnSpPr>
        <xdr:spPr>
          <a:xfrm>
            <a:off x="10054166" y="6043084"/>
            <a:ext cx="2233083" cy="0"/>
          </a:xfrm>
          <a:prstGeom prst="line">
            <a:avLst/>
          </a:prstGeom>
          <a:ln>
            <a:solidFill>
              <a:srgbClr val="22C55E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23812</xdr:colOff>
      <xdr:row>0</xdr:row>
      <xdr:rowOff>83343</xdr:rowOff>
    </xdr:from>
    <xdr:to>
      <xdr:col>2</xdr:col>
      <xdr:colOff>571498</xdr:colOff>
      <xdr:row>3</xdr:row>
      <xdr:rowOff>100866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DB3CB64-42E2-4D4E-BD83-39F0C137E0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13" t="16306" r="71122" b="14974"/>
        <a:stretch>
          <a:fillRect/>
        </a:stretch>
      </xdr:blipFill>
      <xdr:spPr>
        <a:xfrm>
          <a:off x="1871662" y="83343"/>
          <a:ext cx="785811" cy="874773"/>
        </a:xfrm>
        <a:prstGeom prst="rect">
          <a:avLst/>
        </a:prstGeom>
      </xdr:spPr>
    </xdr:pic>
    <xdr:clientData/>
  </xdr:twoCellAnchor>
  <xdr:twoCellAnchor editAs="absolute">
    <xdr:from>
      <xdr:col>0</xdr:col>
      <xdr:colOff>523875</xdr:colOff>
      <xdr:row>0</xdr:row>
      <xdr:rowOff>178594</xdr:rowOff>
    </xdr:from>
    <xdr:to>
      <xdr:col>0</xdr:col>
      <xdr:colOff>1369219</xdr:colOff>
      <xdr:row>3</xdr:row>
      <xdr:rowOff>142875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AAFE4647-AA9C-47AA-AF13-07E52AF72B99}"/>
            </a:ext>
          </a:extLst>
        </xdr:cNvPr>
        <xdr:cNvSpPr/>
      </xdr:nvSpPr>
      <xdr:spPr>
        <a:xfrm>
          <a:off x="523875" y="178594"/>
          <a:ext cx="845344" cy="821531"/>
        </a:xfrm>
        <a:prstGeom prst="ellipse">
          <a:avLst/>
        </a:prstGeom>
        <a:blipFill>
          <a:blip xmlns:r="http://schemas.openxmlformats.org/officeDocument/2006/relationships" r:embed="rId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0</xdr:colOff>
      <xdr:row>3</xdr:row>
      <xdr:rowOff>190499</xdr:rowOff>
    </xdr:from>
    <xdr:to>
      <xdr:col>0</xdr:col>
      <xdr:colOff>1643062</xdr:colOff>
      <xdr:row>5</xdr:row>
      <xdr:rowOff>119062</xdr:rowOff>
    </xdr:to>
    <xdr:sp macro="" textlink="">
      <xdr:nvSpPr>
        <xdr:cNvPr id="23" name="Retângulo 22">
          <a:extLst>
            <a:ext uri="{FF2B5EF4-FFF2-40B4-BE49-F238E27FC236}">
              <a16:creationId xmlns:a16="http://schemas.microsoft.com/office/drawing/2014/main" id="{6F7B273E-05F8-4151-A447-95AE242C003E}"/>
            </a:ext>
          </a:extLst>
        </xdr:cNvPr>
        <xdr:cNvSpPr/>
      </xdr:nvSpPr>
      <xdr:spPr>
        <a:xfrm>
          <a:off x="0" y="1047749"/>
          <a:ext cx="1643062" cy="2143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&gt;</a:t>
          </a:r>
          <a:r>
            <a:rPr lang="pt-BR" sz="1100" baseline="0"/>
            <a:t> bem vindo, Nikson</a:t>
          </a:r>
          <a:endParaRPr lang="pt-BR" sz="1100"/>
        </a:p>
      </xdr:txBody>
    </xdr:sp>
    <xdr:clientData/>
  </xdr:twoCellAnchor>
  <xdr:twoCellAnchor>
    <xdr:from>
      <xdr:col>2</xdr:col>
      <xdr:colOff>0</xdr:colOff>
      <xdr:row>2</xdr:row>
      <xdr:rowOff>236800</xdr:rowOff>
    </xdr:from>
    <xdr:to>
      <xdr:col>10</xdr:col>
      <xdr:colOff>23812</xdr:colOff>
      <xdr:row>4</xdr:row>
      <xdr:rowOff>70114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id="{4B34DA40-66BC-4B8E-8EFB-5E7933681D62}"/>
            </a:ext>
          </a:extLst>
        </xdr:cNvPr>
        <xdr:cNvSpPr/>
      </xdr:nvSpPr>
      <xdr:spPr>
        <a:xfrm>
          <a:off x="2095500" y="861217"/>
          <a:ext cx="4934479" cy="2672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>
              <a:solidFill>
                <a:schemeClr val="bg2">
                  <a:lumMod val="50000"/>
                </a:schemeClr>
              </a:solidFill>
            </a:rPr>
            <a:t>Calculation</a:t>
          </a:r>
          <a:r>
            <a:rPr lang="pt-BR" sz="1100" baseline="0">
              <a:solidFill>
                <a:schemeClr val="bg2">
                  <a:lumMod val="50000"/>
                </a:schemeClr>
              </a:solidFill>
            </a:rPr>
            <a:t> period: 01/01/2024 - 31/12/2024 | Update date: 13/02/2026 19:54:00</a:t>
          </a:r>
          <a:endParaRPr lang="pt-BR" sz="11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137583</xdr:colOff>
      <xdr:row>10</xdr:row>
      <xdr:rowOff>105833</xdr:rowOff>
    </xdr:from>
    <xdr:to>
      <xdr:col>0</xdr:col>
      <xdr:colOff>1756833</xdr:colOff>
      <xdr:row>13</xdr:row>
      <xdr:rowOff>137583</xdr:rowOff>
    </xdr:to>
    <xdr:sp macro="" textlink="">
      <xdr:nvSpPr>
        <xdr:cNvPr id="29" name="Retângulo 28">
          <a:extLst>
            <a:ext uri="{FF2B5EF4-FFF2-40B4-BE49-F238E27FC236}">
              <a16:creationId xmlns:a16="http://schemas.microsoft.com/office/drawing/2014/main" id="{F1149914-B7C8-4A0C-88E5-27F4A4E40651}"/>
            </a:ext>
          </a:extLst>
        </xdr:cNvPr>
        <xdr:cNvSpPr/>
      </xdr:nvSpPr>
      <xdr:spPr>
        <a:xfrm>
          <a:off x="137583" y="2328333"/>
          <a:ext cx="1619250" cy="603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" panose="020B0502040204020203" pitchFamily="34" charset="0"/>
              <a:cs typeface="Segoe UI" panose="020B0502040204020203" pitchFamily="34" charset="0"/>
            </a:rPr>
            <a:t>Planos</a:t>
          </a:r>
        </a:p>
      </xdr:txBody>
    </xdr:sp>
    <xdr:clientData/>
  </xdr:twoCellAnchor>
  <xdr:twoCellAnchor editAs="absolute">
    <xdr:from>
      <xdr:col>0</xdr:col>
      <xdr:colOff>131233</xdr:colOff>
      <xdr:row>7</xdr:row>
      <xdr:rowOff>173566</xdr:rowOff>
    </xdr:from>
    <xdr:to>
      <xdr:col>0</xdr:col>
      <xdr:colOff>1750483</xdr:colOff>
      <xdr:row>9</xdr:row>
      <xdr:rowOff>162983</xdr:rowOff>
    </xdr:to>
    <xdr:sp macro="" textlink="">
      <xdr:nvSpPr>
        <xdr:cNvPr id="30" name="Retângulo 2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8084046-A5C9-4D2A-8ED4-662BC2D196BB}"/>
            </a:ext>
          </a:extLst>
        </xdr:cNvPr>
        <xdr:cNvSpPr/>
      </xdr:nvSpPr>
      <xdr:spPr>
        <a:xfrm>
          <a:off x="131233" y="1591733"/>
          <a:ext cx="1619250" cy="603250"/>
        </a:xfrm>
        <a:prstGeom prst="rect">
          <a:avLst/>
        </a:prstGeom>
        <a:solidFill>
          <a:srgbClr val="2AE6B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Segoe UI" panose="020B0502040204020203" pitchFamily="34" charset="0"/>
              <a:cs typeface="Segoe UI" panose="020B0502040204020203" pitchFamily="34" charset="0"/>
            </a:rPr>
            <a:t>Dashboad</a:t>
          </a:r>
        </a:p>
      </xdr:txBody>
    </xdr:sp>
    <xdr:clientData/>
  </xdr:twoCellAnchor>
  <xdr:twoCellAnchor>
    <xdr:from>
      <xdr:col>2</xdr:col>
      <xdr:colOff>232439</xdr:colOff>
      <xdr:row>6</xdr:row>
      <xdr:rowOff>2644</xdr:rowOff>
    </xdr:from>
    <xdr:to>
      <xdr:col>7</xdr:col>
      <xdr:colOff>87832</xdr:colOff>
      <xdr:row>32</xdr:row>
      <xdr:rowOff>31750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E107FFE9-3AC3-2157-16C1-74E61CB02F42}"/>
            </a:ext>
          </a:extLst>
        </xdr:cNvPr>
        <xdr:cNvGrpSpPr/>
      </xdr:nvGrpSpPr>
      <xdr:grpSpPr>
        <a:xfrm>
          <a:off x="2327939" y="1293811"/>
          <a:ext cx="2924560" cy="5151439"/>
          <a:chOff x="2327939" y="1293811"/>
          <a:chExt cx="2924560" cy="5151439"/>
        </a:xfrm>
      </xdr:grpSpPr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D1751A9F-3EA3-442F-873E-0D52989DD364}"/>
              </a:ext>
            </a:extLst>
          </xdr:cNvPr>
          <xdr:cNvGrpSpPr/>
        </xdr:nvGrpSpPr>
        <xdr:grpSpPr>
          <a:xfrm>
            <a:off x="2327939" y="1293811"/>
            <a:ext cx="2924560" cy="5151439"/>
            <a:chOff x="2155032" y="1262063"/>
            <a:chExt cx="4694403" cy="1797023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D2EE96E1-41C6-14B0-33B3-D057C6B7D38D}"/>
                </a:ext>
              </a:extLst>
            </xdr:cNvPr>
            <xdr:cNvSpPr/>
          </xdr:nvSpPr>
          <xdr:spPr>
            <a:xfrm>
              <a:off x="2205996" y="1439837"/>
              <a:ext cx="4643439" cy="1619249"/>
            </a:xfrm>
            <a:prstGeom prst="roundRect">
              <a:avLst>
                <a:gd name="adj" fmla="val 3764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7A184BDD-5548-D3BE-23B2-941FD02A975E}"/>
                </a:ext>
              </a:extLst>
            </xdr:cNvPr>
            <xdr:cNvSpPr/>
          </xdr:nvSpPr>
          <xdr:spPr>
            <a:xfrm>
              <a:off x="2160000" y="1729774"/>
              <a:ext cx="4650375" cy="299567"/>
            </a:xfrm>
            <a:prstGeom prst="roundRect">
              <a:avLst>
                <a:gd name="adj" fmla="val 3764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3600">
                  <a:solidFill>
                    <a:srgbClr val="22C55E"/>
                  </a:solidFill>
                </a:rPr>
                <a:t> R$</a:t>
              </a:r>
              <a:r>
                <a:rPr lang="en-US" sz="3600" baseline="0">
                  <a:solidFill>
                    <a:srgbClr val="22C55E"/>
                  </a:solidFill>
                </a:rPr>
                <a:t> 5,00</a:t>
              </a:r>
              <a:r>
                <a:rPr lang="en-US" sz="3600">
                  <a:solidFill>
                    <a:srgbClr val="22C55E"/>
                  </a:solidFill>
                </a:rPr>
                <a:t> </a:t>
              </a:r>
            </a:p>
          </xdr:txBody>
        </xdr:sp>
        <xdr:sp macro="" textlink="">
          <xdr:nvSpPr>
            <xdr:cNvPr id="8" name="Retângulo: Cantos Superiores Arredondados 7">
              <a:extLst>
                <a:ext uri="{FF2B5EF4-FFF2-40B4-BE49-F238E27FC236}">
                  <a16:creationId xmlns:a16="http://schemas.microsoft.com/office/drawing/2014/main" id="{8924290D-99F2-170F-2B3B-967C04611593}"/>
                </a:ext>
              </a:extLst>
            </xdr:cNvPr>
            <xdr:cNvSpPr/>
          </xdr:nvSpPr>
          <xdr:spPr>
            <a:xfrm>
              <a:off x="2155032" y="1262063"/>
              <a:ext cx="4655344" cy="476250"/>
            </a:xfrm>
            <a:prstGeom prst="round2SameRect">
              <a:avLst>
                <a:gd name="adj1" fmla="val 6807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2400" b="1">
                  <a:latin typeface="Segoe UI" panose="020B0502040204020203" pitchFamily="34" charset="0"/>
                  <a:cs typeface="Segoe UI" panose="020B0502040204020203" pitchFamily="34" charset="0"/>
                </a:rPr>
                <a:t>PLAN C</a:t>
              </a:r>
              <a:r>
                <a:rPr lang="pt-BR" sz="24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ORE</a:t>
              </a:r>
              <a:endParaRPr lang="pt-BR" sz="24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EA476C7-ADF1-5FFA-91B9-5B17F36FB6B4}"/>
              </a:ext>
            </a:extLst>
          </xdr:cNvPr>
          <xdr:cNvSpPr/>
        </xdr:nvSpPr>
        <xdr:spPr>
          <a:xfrm>
            <a:off x="2370668" y="3799416"/>
            <a:ext cx="2857500" cy="2370667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>
                <a:solidFill>
                  <a:srgbClr val="22C55E"/>
                </a:solidFill>
              </a:rPr>
              <a:t>Subscription Type</a:t>
            </a:r>
          </a:p>
          <a:p>
            <a:pPr algn="ctr"/>
            <a:r>
              <a:rPr lang="pt-BR" sz="1600">
                <a:solidFill>
                  <a:srgbClr val="22C55E"/>
                </a:solidFill>
              </a:rPr>
              <a:t>* Annual</a:t>
            </a:r>
          </a:p>
          <a:p>
            <a:pPr algn="ctr"/>
            <a:r>
              <a:rPr lang="pt-BR" sz="1600">
                <a:solidFill>
                  <a:srgbClr val="22C55E"/>
                </a:solidFill>
              </a:rPr>
              <a:t>*</a:t>
            </a:r>
            <a:r>
              <a:rPr lang="pt-BR" sz="1600" baseline="0">
                <a:solidFill>
                  <a:srgbClr val="22C55E"/>
                </a:solidFill>
              </a:rPr>
              <a:t> Quartrely</a:t>
            </a:r>
          </a:p>
          <a:p>
            <a:pPr algn="ctr"/>
            <a:r>
              <a:rPr lang="pt-BR" sz="1600" baseline="0">
                <a:solidFill>
                  <a:srgbClr val="22C55E"/>
                </a:solidFill>
              </a:rPr>
              <a:t>* Monthly</a:t>
            </a:r>
          </a:p>
          <a:p>
            <a:pPr algn="ctr"/>
            <a:endParaRPr lang="pt-BR" sz="1600" baseline="0">
              <a:solidFill>
                <a:srgbClr val="22C55E"/>
              </a:solidFill>
            </a:endParaRPr>
          </a:p>
          <a:p>
            <a:pPr algn="ctr"/>
            <a:r>
              <a:rPr lang="pt-BR" sz="1600" baseline="0">
                <a:solidFill>
                  <a:srgbClr val="22C55E"/>
                </a:solidFill>
              </a:rPr>
              <a:t>Access to the plans:</a:t>
            </a:r>
            <a:br>
              <a:rPr lang="pt-BR" sz="1600" baseline="0">
                <a:solidFill>
                  <a:srgbClr val="22C55E"/>
                </a:solidFill>
              </a:rPr>
            </a:br>
            <a:endParaRPr lang="pt-BR" sz="1600" baseline="0">
              <a:solidFill>
                <a:srgbClr val="22C55E"/>
              </a:solidFill>
            </a:endParaRPr>
          </a:p>
        </xdr:txBody>
      </xdr:sp>
      <xdr:cxnSp macro="">
        <xdr:nvCxnSpPr>
          <xdr:cNvPr id="20" name="Conector reto 19">
            <a:extLst>
              <a:ext uri="{FF2B5EF4-FFF2-40B4-BE49-F238E27FC236}">
                <a16:creationId xmlns:a16="http://schemas.microsoft.com/office/drawing/2014/main" id="{039C2A46-000E-229C-272F-2BCB92303640}"/>
              </a:ext>
            </a:extLst>
          </xdr:cNvPr>
          <xdr:cNvCxnSpPr/>
        </xdr:nvCxnSpPr>
        <xdr:spPr>
          <a:xfrm>
            <a:off x="2370667" y="3704167"/>
            <a:ext cx="2878666" cy="0"/>
          </a:xfrm>
          <a:prstGeom prst="line">
            <a:avLst/>
          </a:prstGeom>
          <a:ln>
            <a:solidFill>
              <a:srgbClr val="22C55E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10583</xdr:colOff>
      <xdr:row>6</xdr:row>
      <xdr:rowOff>2644</xdr:rowOff>
    </xdr:from>
    <xdr:to>
      <xdr:col>12</xdr:col>
      <xdr:colOff>613832</xdr:colOff>
      <xdr:row>6</xdr:row>
      <xdr:rowOff>2644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9B86A0AD-2605-457C-98AE-DCF733EA1F4A}"/>
            </a:ext>
          </a:extLst>
        </xdr:cNvPr>
        <xdr:cNvCxnSpPr/>
      </xdr:nvCxnSpPr>
      <xdr:spPr>
        <a:xfrm>
          <a:off x="5789083" y="1293811"/>
          <a:ext cx="2878666" cy="0"/>
        </a:xfrm>
        <a:prstGeom prst="line">
          <a:avLst/>
        </a:prstGeom>
        <a:ln>
          <a:solidFill>
            <a:srgbClr val="22C55E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10583</xdr:colOff>
      <xdr:row>6</xdr:row>
      <xdr:rowOff>2644</xdr:rowOff>
    </xdr:from>
    <xdr:to>
      <xdr:col>13</xdr:col>
      <xdr:colOff>26458</xdr:colOff>
      <xdr:row>31</xdr:row>
      <xdr:rowOff>179916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DB530F04-1559-76E1-B156-183AD931A584}"/>
            </a:ext>
          </a:extLst>
        </xdr:cNvPr>
        <xdr:cNvGrpSpPr/>
      </xdr:nvGrpSpPr>
      <xdr:grpSpPr>
        <a:xfrm>
          <a:off x="5789083" y="1293811"/>
          <a:ext cx="2905125" cy="5109105"/>
          <a:chOff x="5789083" y="1293811"/>
          <a:chExt cx="2905125" cy="5109105"/>
        </a:xfrm>
      </xdr:grpSpPr>
      <xdr:grpSp>
        <xdr:nvGrpSpPr>
          <xdr:cNvPr id="3" name="Agrupar 2">
            <a:extLst>
              <a:ext uri="{FF2B5EF4-FFF2-40B4-BE49-F238E27FC236}">
                <a16:creationId xmlns:a16="http://schemas.microsoft.com/office/drawing/2014/main" id="{4689336F-A716-C037-41FB-AB484150F617}"/>
              </a:ext>
            </a:extLst>
          </xdr:cNvPr>
          <xdr:cNvGrpSpPr/>
        </xdr:nvGrpSpPr>
        <xdr:grpSpPr>
          <a:xfrm>
            <a:off x="5789083" y="1293811"/>
            <a:ext cx="2905125" cy="5109105"/>
            <a:chOff x="2147170" y="1262063"/>
            <a:chExt cx="4663206" cy="1619249"/>
          </a:xfrm>
        </xdr:grpSpPr>
        <xdr:sp macro="" textlink="">
          <xdr:nvSpPr>
            <xdr:cNvPr id="9" name="Retângulo: Cantos Arredondados 8">
              <a:extLst>
                <a:ext uri="{FF2B5EF4-FFF2-40B4-BE49-F238E27FC236}">
                  <a16:creationId xmlns:a16="http://schemas.microsoft.com/office/drawing/2014/main" id="{939B863F-F733-CB66-2863-1DC664BBD864}"/>
                </a:ext>
              </a:extLst>
            </xdr:cNvPr>
            <xdr:cNvSpPr/>
          </xdr:nvSpPr>
          <xdr:spPr>
            <a:xfrm>
              <a:off x="2155032" y="1262063"/>
              <a:ext cx="4643438" cy="1619249"/>
            </a:xfrm>
            <a:prstGeom prst="roundRect">
              <a:avLst>
                <a:gd name="adj" fmla="val 3764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0" name="Retângulo: Cantos Arredondados 9">
              <a:extLst>
                <a:ext uri="{FF2B5EF4-FFF2-40B4-BE49-F238E27FC236}">
                  <a16:creationId xmlns:a16="http://schemas.microsoft.com/office/drawing/2014/main" id="{3F742BC9-790D-EDCD-2FA0-BE3C07B1D6BA}"/>
                </a:ext>
              </a:extLst>
            </xdr:cNvPr>
            <xdr:cNvSpPr/>
          </xdr:nvSpPr>
          <xdr:spPr>
            <a:xfrm>
              <a:off x="2147170" y="1729774"/>
              <a:ext cx="4603747" cy="296213"/>
            </a:xfrm>
            <a:prstGeom prst="roundRect">
              <a:avLst>
                <a:gd name="adj" fmla="val 3764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3600" b="0" i="0" u="none" strike="noStrike">
                  <a:solidFill>
                    <a:srgbClr val="22C55E"/>
                  </a:solidFill>
                  <a:latin typeface="Aptos Narrow"/>
                </a:rPr>
                <a:t> R$ 10,00 </a:t>
              </a:r>
            </a:p>
          </xdr:txBody>
        </xdr:sp>
        <xdr:sp macro="" textlink="">
          <xdr:nvSpPr>
            <xdr:cNvPr id="11" name="Retângulo: Cantos Superiores Arredondados 10">
              <a:extLst>
                <a:ext uri="{FF2B5EF4-FFF2-40B4-BE49-F238E27FC236}">
                  <a16:creationId xmlns:a16="http://schemas.microsoft.com/office/drawing/2014/main" id="{06F60559-4A6C-A9F0-ED10-120769AE8D49}"/>
                </a:ext>
              </a:extLst>
            </xdr:cNvPr>
            <xdr:cNvSpPr/>
          </xdr:nvSpPr>
          <xdr:spPr>
            <a:xfrm>
              <a:off x="2155032" y="1262063"/>
              <a:ext cx="4655344" cy="476250"/>
            </a:xfrm>
            <a:prstGeom prst="round2SameRect">
              <a:avLst>
                <a:gd name="adj1" fmla="val 6807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2400" b="1">
                  <a:latin typeface="Segoe UI" panose="020B0502040204020203" pitchFamily="34" charset="0"/>
                  <a:cs typeface="Segoe UI" panose="020B0502040204020203" pitchFamily="34" charset="0"/>
                </a:rPr>
                <a:t>PLAN</a:t>
              </a:r>
              <a:r>
                <a:rPr lang="pt-BR" sz="24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STANDARD</a:t>
              </a:r>
            </a:p>
          </xdr:txBody>
        </xdr:sp>
      </xdr:grpSp>
      <xdr:cxnSp macro="">
        <xdr:nvCxnSpPr>
          <xdr:cNvPr id="25" name="Conector reto 24">
            <a:extLst>
              <a:ext uri="{FF2B5EF4-FFF2-40B4-BE49-F238E27FC236}">
                <a16:creationId xmlns:a16="http://schemas.microsoft.com/office/drawing/2014/main" id="{69AF971A-D3EE-4E7C-8422-8B08796BE245}"/>
              </a:ext>
            </a:extLst>
          </xdr:cNvPr>
          <xdr:cNvCxnSpPr/>
        </xdr:nvCxnSpPr>
        <xdr:spPr>
          <a:xfrm>
            <a:off x="5799666" y="3704166"/>
            <a:ext cx="2878666" cy="0"/>
          </a:xfrm>
          <a:prstGeom prst="line">
            <a:avLst/>
          </a:prstGeom>
          <a:ln>
            <a:solidFill>
              <a:srgbClr val="22C55E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7" name="Retângulo: Cantos Arredondados 26">
            <a:extLst>
              <a:ext uri="{FF2B5EF4-FFF2-40B4-BE49-F238E27FC236}">
                <a16:creationId xmlns:a16="http://schemas.microsoft.com/office/drawing/2014/main" id="{C76C61D6-6D8C-C6B3-B768-ABDAA6B5CDEA}"/>
              </a:ext>
            </a:extLst>
          </xdr:cNvPr>
          <xdr:cNvSpPr/>
        </xdr:nvSpPr>
        <xdr:spPr>
          <a:xfrm>
            <a:off x="5799669" y="3852332"/>
            <a:ext cx="2857500" cy="2370667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>
                <a:solidFill>
                  <a:srgbClr val="22C55E"/>
                </a:solidFill>
              </a:rPr>
              <a:t>Subscription Type</a:t>
            </a:r>
          </a:p>
          <a:p>
            <a:pPr algn="ctr"/>
            <a:r>
              <a:rPr lang="pt-BR" sz="1600">
                <a:solidFill>
                  <a:srgbClr val="22C55E"/>
                </a:solidFill>
              </a:rPr>
              <a:t>* Annual</a:t>
            </a:r>
          </a:p>
          <a:p>
            <a:pPr algn="ctr"/>
            <a:r>
              <a:rPr lang="pt-BR" sz="1600">
                <a:solidFill>
                  <a:srgbClr val="22C55E"/>
                </a:solidFill>
              </a:rPr>
              <a:t>*</a:t>
            </a:r>
            <a:r>
              <a:rPr lang="pt-BR" sz="1600" baseline="0">
                <a:solidFill>
                  <a:srgbClr val="22C55E"/>
                </a:solidFill>
              </a:rPr>
              <a:t> Quartrely</a:t>
            </a:r>
          </a:p>
          <a:p>
            <a:pPr algn="ctr"/>
            <a:r>
              <a:rPr lang="pt-BR" sz="1600" baseline="0">
                <a:solidFill>
                  <a:srgbClr val="22C55E"/>
                </a:solidFill>
              </a:rPr>
              <a:t>* Monthly</a:t>
            </a:r>
          </a:p>
          <a:p>
            <a:pPr algn="ctr"/>
            <a:endParaRPr lang="pt-BR" sz="1600" baseline="0">
              <a:solidFill>
                <a:srgbClr val="22C55E"/>
              </a:solidFill>
            </a:endParaRPr>
          </a:p>
          <a:p>
            <a:pPr algn="ctr"/>
            <a:r>
              <a:rPr lang="pt-BR" sz="1600" baseline="0">
                <a:solidFill>
                  <a:srgbClr val="22C55E"/>
                </a:solidFill>
              </a:rPr>
              <a:t>Access to the plans:</a:t>
            </a:r>
            <a:br>
              <a:rPr lang="pt-BR" sz="1600" baseline="0">
                <a:solidFill>
                  <a:srgbClr val="22C55E"/>
                </a:solidFill>
              </a:rPr>
            </a:br>
            <a:r>
              <a:rPr lang="pt-BR" sz="1600" baseline="0">
                <a:solidFill>
                  <a:srgbClr val="22C55E"/>
                </a:solidFill>
              </a:rPr>
              <a:t>- Minecraft Pass</a:t>
            </a:r>
          </a:p>
        </xdr:txBody>
      </xdr:sp>
    </xdr:grpSp>
    <xdr:clientData/>
  </xdr:twoCellAnchor>
  <xdr:twoCellAnchor>
    <xdr:from>
      <xdr:col>13</xdr:col>
      <xdr:colOff>592273</xdr:colOff>
      <xdr:row>6</xdr:row>
      <xdr:rowOff>2644</xdr:rowOff>
    </xdr:from>
    <xdr:to>
      <xdr:col>18</xdr:col>
      <xdr:colOff>423333</xdr:colOff>
      <xdr:row>31</xdr:row>
      <xdr:rowOff>179916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BBF5B4A5-ADA2-AD04-A34C-6F2D8787491F}"/>
            </a:ext>
          </a:extLst>
        </xdr:cNvPr>
        <xdr:cNvGrpSpPr/>
      </xdr:nvGrpSpPr>
      <xdr:grpSpPr>
        <a:xfrm>
          <a:off x="9260023" y="1293811"/>
          <a:ext cx="2900227" cy="5109105"/>
          <a:chOff x="9260023" y="1293811"/>
          <a:chExt cx="2900227" cy="5109105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CA8ED396-4B0C-C682-CE4B-D60BBD063134}"/>
              </a:ext>
            </a:extLst>
          </xdr:cNvPr>
          <xdr:cNvGrpSpPr/>
        </xdr:nvGrpSpPr>
        <xdr:grpSpPr>
          <a:xfrm>
            <a:off x="9260023" y="1293811"/>
            <a:ext cx="2900227" cy="5109105"/>
            <a:chOff x="2155032" y="1262063"/>
            <a:chExt cx="4655344" cy="1619249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D79AB330-607B-A8D3-C977-80A1ED387F7E}"/>
                </a:ext>
              </a:extLst>
            </xdr:cNvPr>
            <xdr:cNvSpPr/>
          </xdr:nvSpPr>
          <xdr:spPr>
            <a:xfrm>
              <a:off x="2155032" y="1262063"/>
              <a:ext cx="4643438" cy="1619249"/>
            </a:xfrm>
            <a:prstGeom prst="roundRect">
              <a:avLst>
                <a:gd name="adj" fmla="val 3764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7A7E3C7B-AC8B-D3DA-2AC9-BF70F2472B7A}"/>
                </a:ext>
              </a:extLst>
            </xdr:cNvPr>
            <xdr:cNvSpPr/>
          </xdr:nvSpPr>
          <xdr:spPr>
            <a:xfrm>
              <a:off x="2172650" y="1733129"/>
              <a:ext cx="4603748" cy="286149"/>
            </a:xfrm>
            <a:prstGeom prst="roundRect">
              <a:avLst>
                <a:gd name="adj" fmla="val 3764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3600" b="0" i="0" u="none" strike="noStrike">
                  <a:solidFill>
                    <a:srgbClr val="22C55E"/>
                  </a:solidFill>
                  <a:latin typeface="Aptos Narrow"/>
                </a:rPr>
                <a:t> R$ 15,00 </a:t>
              </a:r>
            </a:p>
          </xdr:txBody>
        </xdr:sp>
        <xdr:sp macro="" textlink="">
          <xdr:nvSpPr>
            <xdr:cNvPr id="15" name="Retângulo: Cantos Superiores Arredondados 14">
              <a:extLst>
                <a:ext uri="{FF2B5EF4-FFF2-40B4-BE49-F238E27FC236}">
                  <a16:creationId xmlns:a16="http://schemas.microsoft.com/office/drawing/2014/main" id="{247BED2F-6BDB-8BBF-1C20-F729C578548C}"/>
                </a:ext>
              </a:extLst>
            </xdr:cNvPr>
            <xdr:cNvSpPr/>
          </xdr:nvSpPr>
          <xdr:spPr>
            <a:xfrm>
              <a:off x="2155032" y="1262063"/>
              <a:ext cx="4655344" cy="476250"/>
            </a:xfrm>
            <a:prstGeom prst="round2SameRect">
              <a:avLst>
                <a:gd name="adj1" fmla="val 6807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2400" b="1">
                  <a:latin typeface="Segoe UI" panose="020B0502040204020203" pitchFamily="34" charset="0"/>
                  <a:cs typeface="Segoe UI" panose="020B0502040204020203" pitchFamily="34" charset="0"/>
                </a:rPr>
                <a:t>PLAN</a:t>
              </a:r>
              <a:r>
                <a:rPr lang="pt-BR" sz="24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ULTIMATE</a:t>
              </a:r>
              <a:endParaRPr lang="pt-BR" sz="24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cxnSp macro="">
        <xdr:nvCxnSpPr>
          <xdr:cNvPr id="26" name="Conector reto 25">
            <a:extLst>
              <a:ext uri="{FF2B5EF4-FFF2-40B4-BE49-F238E27FC236}">
                <a16:creationId xmlns:a16="http://schemas.microsoft.com/office/drawing/2014/main" id="{CA5E3422-537E-4DCF-9F28-6069C082EAF1}"/>
              </a:ext>
            </a:extLst>
          </xdr:cNvPr>
          <xdr:cNvCxnSpPr/>
        </xdr:nvCxnSpPr>
        <xdr:spPr>
          <a:xfrm>
            <a:off x="9264649" y="3697816"/>
            <a:ext cx="2878666" cy="0"/>
          </a:xfrm>
          <a:prstGeom prst="line">
            <a:avLst/>
          </a:prstGeom>
          <a:ln>
            <a:solidFill>
              <a:srgbClr val="22C55E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" name="Retângulo: Cantos Arredondados 27">
            <a:extLst>
              <a:ext uri="{FF2B5EF4-FFF2-40B4-BE49-F238E27FC236}">
                <a16:creationId xmlns:a16="http://schemas.microsoft.com/office/drawing/2014/main" id="{24EF3BDB-257E-0893-ADF9-538376EDDEFB}"/>
              </a:ext>
            </a:extLst>
          </xdr:cNvPr>
          <xdr:cNvSpPr/>
        </xdr:nvSpPr>
        <xdr:spPr>
          <a:xfrm>
            <a:off x="9292169" y="3693582"/>
            <a:ext cx="2857500" cy="2370667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>
                <a:solidFill>
                  <a:srgbClr val="22C55E"/>
                </a:solidFill>
              </a:rPr>
              <a:t>Subscription Type</a:t>
            </a:r>
          </a:p>
          <a:p>
            <a:pPr algn="ctr"/>
            <a:r>
              <a:rPr lang="pt-BR" sz="1600">
                <a:solidFill>
                  <a:srgbClr val="22C55E"/>
                </a:solidFill>
              </a:rPr>
              <a:t>* Annual</a:t>
            </a:r>
          </a:p>
          <a:p>
            <a:pPr algn="ctr"/>
            <a:r>
              <a:rPr lang="pt-BR" sz="1600">
                <a:solidFill>
                  <a:srgbClr val="22C55E"/>
                </a:solidFill>
              </a:rPr>
              <a:t>*</a:t>
            </a:r>
            <a:r>
              <a:rPr lang="pt-BR" sz="1600" baseline="0">
                <a:solidFill>
                  <a:srgbClr val="22C55E"/>
                </a:solidFill>
              </a:rPr>
              <a:t> Quartrely</a:t>
            </a:r>
          </a:p>
          <a:p>
            <a:pPr algn="ctr"/>
            <a:r>
              <a:rPr lang="pt-BR" sz="1600" baseline="0">
                <a:solidFill>
                  <a:srgbClr val="22C55E"/>
                </a:solidFill>
              </a:rPr>
              <a:t>* Monthly</a:t>
            </a:r>
          </a:p>
          <a:p>
            <a:pPr algn="ctr"/>
            <a:endParaRPr lang="pt-BR" sz="1600" baseline="0">
              <a:solidFill>
                <a:srgbClr val="22C55E"/>
              </a:solidFill>
            </a:endParaRPr>
          </a:p>
          <a:p>
            <a:pPr algn="ctr"/>
            <a:r>
              <a:rPr lang="pt-BR" sz="1600" baseline="0">
                <a:solidFill>
                  <a:srgbClr val="22C55E"/>
                </a:solidFill>
              </a:rPr>
              <a:t>Acess to the plans:</a:t>
            </a:r>
            <a:br>
              <a:rPr lang="pt-BR" sz="1600" baseline="0">
                <a:solidFill>
                  <a:srgbClr val="22C55E"/>
                </a:solidFill>
              </a:rPr>
            </a:br>
            <a:r>
              <a:rPr lang="pt-BR" sz="1600" baseline="0">
                <a:solidFill>
                  <a:srgbClr val="22C55E"/>
                </a:solidFill>
              </a:rPr>
              <a:t>- Minecraft Pass</a:t>
            </a:r>
            <a:br>
              <a:rPr lang="pt-BR" sz="1600" baseline="0">
                <a:solidFill>
                  <a:srgbClr val="22C55E"/>
                </a:solidFill>
              </a:rPr>
            </a:br>
            <a:r>
              <a:rPr lang="pt-BR" sz="1600" baseline="0">
                <a:solidFill>
                  <a:srgbClr val="22C55E"/>
                </a:solidFill>
              </a:rPr>
              <a:t>- AE Play Pass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son" refreshedDate="46066.982028472223" createdVersion="8" refreshedVersion="8" minRefreshableVersion="3" recordCount="295" xr:uid="{EBF56C58-F57C-4618-A75C-D64AB44BFD40}">
  <cacheSource type="worksheet">
    <worksheetSource name="Tabela1"/>
  </cacheSource>
  <cacheFields count="14">
    <cacheField name="Subscriber ID" numFmtId="0">
      <sharedItems containsSemiMixedTypes="0" containsString="0" containsNumber="1" containsInteger="1" minValue="3231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SemiMixedTypes="0" containsString="0" containsNumber="1" containsInteger="1" minValue="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Receita Total Pass" numFmtId="44">
      <sharedItems containsSemiMixedTypes="0" containsString="0" containsNumber="1" containsInteger="1" minValue="0" maxValue="50"/>
    </cacheField>
  </cacheFields>
  <extLst>
    <ext xmlns:x14="http://schemas.microsoft.com/office/spreadsheetml/2009/9/main" uri="{725AE2AE-9491-48be-B2B4-4EB974FC3084}">
      <x14:pivotCacheDefinition pivotCacheId="186492476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x v="0"/>
    <s v="João Silva"/>
    <x v="0"/>
    <d v="2024-01-01T00:00:00"/>
    <x v="0"/>
    <n v="15"/>
    <x v="0"/>
    <x v="0"/>
    <n v="30"/>
    <x v="0"/>
    <n v="20"/>
    <n v="5"/>
    <n v="60"/>
    <n v="50"/>
  </r>
  <r>
    <x v="1"/>
    <s v="Maria Oliveira"/>
    <x v="1"/>
    <d v="2024-01-15T00:00:00"/>
    <x v="1"/>
    <n v="5"/>
    <x v="1"/>
    <x v="1"/>
    <n v="0"/>
    <x v="1"/>
    <n v="0"/>
    <n v="0"/>
    <n v="5"/>
    <n v="0"/>
  </r>
  <r>
    <x v="2"/>
    <s v="Lucas Fernandes"/>
    <x v="2"/>
    <d v="2024-02-10T00:00:00"/>
    <x v="0"/>
    <n v="10"/>
    <x v="2"/>
    <x v="1"/>
    <n v="0"/>
    <x v="0"/>
    <n v="20"/>
    <n v="10"/>
    <n v="20"/>
    <n v="20"/>
  </r>
  <r>
    <x v="3"/>
    <s v="Ana Souza"/>
    <x v="0"/>
    <d v="2024-02-20T00:00:00"/>
    <x v="1"/>
    <n v="15"/>
    <x v="0"/>
    <x v="0"/>
    <n v="30"/>
    <x v="0"/>
    <n v="20"/>
    <n v="3"/>
    <n v="62"/>
    <n v="50"/>
  </r>
  <r>
    <x v="4"/>
    <s v="Pedro Gonçalves"/>
    <x v="1"/>
    <d v="2024-03-05T00:00:00"/>
    <x v="0"/>
    <n v="5"/>
    <x v="0"/>
    <x v="1"/>
    <n v="0"/>
    <x v="1"/>
    <n v="0"/>
    <n v="1"/>
    <n v="4"/>
    <n v="0"/>
  </r>
  <r>
    <x v="5"/>
    <s v="Felipe Costa"/>
    <x v="2"/>
    <d v="2024-03-02T00:00:00"/>
    <x v="1"/>
    <n v="10"/>
    <x v="0"/>
    <x v="1"/>
    <n v="0"/>
    <x v="0"/>
    <n v="20"/>
    <n v="2"/>
    <n v="28"/>
    <n v="20"/>
  </r>
  <r>
    <x v="6"/>
    <s v="Camila Ribeiro"/>
    <x v="0"/>
    <d v="2024-03-03T00:00:00"/>
    <x v="0"/>
    <n v="15"/>
    <x v="2"/>
    <x v="0"/>
    <n v="30"/>
    <x v="0"/>
    <n v="20"/>
    <n v="10"/>
    <n v="55"/>
    <n v="50"/>
  </r>
  <r>
    <x v="7"/>
    <s v="André Mendes"/>
    <x v="1"/>
    <d v="2024-03-04T00:00:00"/>
    <x v="0"/>
    <n v="5"/>
    <x v="1"/>
    <x v="1"/>
    <n v="0"/>
    <x v="1"/>
    <n v="0"/>
    <n v="0"/>
    <n v="5"/>
    <n v="0"/>
  </r>
  <r>
    <x v="8"/>
    <s v="Sofia Almeida"/>
    <x v="0"/>
    <d v="2024-03-05T00:00:00"/>
    <x v="1"/>
    <n v="15"/>
    <x v="0"/>
    <x v="0"/>
    <n v="30"/>
    <x v="0"/>
    <n v="20"/>
    <n v="5"/>
    <n v="60"/>
    <n v="50"/>
  </r>
  <r>
    <x v="9"/>
    <s v="Bruno Martins"/>
    <x v="2"/>
    <d v="2024-03-06T00:00:00"/>
    <x v="0"/>
    <n v="10"/>
    <x v="2"/>
    <x v="1"/>
    <n v="0"/>
    <x v="0"/>
    <n v="20"/>
    <n v="15"/>
    <n v="15"/>
    <n v="20"/>
  </r>
  <r>
    <x v="10"/>
    <s v="Rita Castro"/>
    <x v="1"/>
    <d v="2024-03-07T00:00:00"/>
    <x v="1"/>
    <n v="5"/>
    <x v="0"/>
    <x v="1"/>
    <n v="0"/>
    <x v="1"/>
    <n v="0"/>
    <n v="1"/>
    <n v="4"/>
    <n v="0"/>
  </r>
  <r>
    <x v="11"/>
    <s v="Marco Túlio"/>
    <x v="0"/>
    <d v="2024-03-08T00:00:00"/>
    <x v="0"/>
    <n v="15"/>
    <x v="1"/>
    <x v="0"/>
    <n v="30"/>
    <x v="0"/>
    <n v="20"/>
    <n v="20"/>
    <n v="45"/>
    <n v="50"/>
  </r>
  <r>
    <x v="12"/>
    <s v="Lívia Silveira"/>
    <x v="2"/>
    <d v="2024-03-09T00:00:00"/>
    <x v="1"/>
    <n v="10"/>
    <x v="0"/>
    <x v="1"/>
    <n v="0"/>
    <x v="0"/>
    <n v="20"/>
    <n v="10"/>
    <n v="20"/>
    <n v="20"/>
  </r>
  <r>
    <x v="13"/>
    <s v="Diogo Sousa"/>
    <x v="1"/>
    <d v="2024-03-10T00:00:00"/>
    <x v="0"/>
    <n v="5"/>
    <x v="2"/>
    <x v="1"/>
    <n v="0"/>
    <x v="1"/>
    <n v="0"/>
    <n v="0"/>
    <n v="5"/>
    <n v="0"/>
  </r>
  <r>
    <x v="14"/>
    <s v="Fernanda Lima"/>
    <x v="0"/>
    <d v="2024-03-11T00:00:00"/>
    <x v="1"/>
    <n v="15"/>
    <x v="0"/>
    <x v="0"/>
    <n v="30"/>
    <x v="0"/>
    <n v="20"/>
    <n v="8"/>
    <n v="57"/>
    <n v="50"/>
  </r>
  <r>
    <x v="15"/>
    <s v="Caio Pereira"/>
    <x v="2"/>
    <d v="2024-03-12T00:00:00"/>
    <x v="0"/>
    <n v="10"/>
    <x v="1"/>
    <x v="1"/>
    <n v="0"/>
    <x v="0"/>
    <n v="20"/>
    <n v="12"/>
    <n v="18"/>
    <n v="20"/>
  </r>
  <r>
    <x v="16"/>
    <s v="Beatriz Gomes"/>
    <x v="1"/>
    <d v="2024-03-13T00:00:00"/>
    <x v="1"/>
    <n v="5"/>
    <x v="0"/>
    <x v="1"/>
    <n v="0"/>
    <x v="1"/>
    <n v="0"/>
    <n v="2"/>
    <n v="3"/>
    <n v="0"/>
  </r>
  <r>
    <x v="17"/>
    <s v="Cesar Oliveira"/>
    <x v="0"/>
    <d v="2024-03-14T00:00:00"/>
    <x v="0"/>
    <n v="15"/>
    <x v="2"/>
    <x v="0"/>
    <n v="30"/>
    <x v="0"/>
    <n v="20"/>
    <n v="7"/>
    <n v="58"/>
    <n v="50"/>
  </r>
  <r>
    <x v="18"/>
    <s v="Débora Machado"/>
    <x v="2"/>
    <d v="2024-03-15T00:00:00"/>
    <x v="1"/>
    <n v="10"/>
    <x v="0"/>
    <x v="1"/>
    <n v="0"/>
    <x v="0"/>
    <n v="20"/>
    <n v="5"/>
    <n v="25"/>
    <n v="20"/>
  </r>
  <r>
    <x v="19"/>
    <s v="Eduardo Vargas"/>
    <x v="1"/>
    <d v="2024-03-16T00:00:00"/>
    <x v="0"/>
    <n v="5"/>
    <x v="1"/>
    <x v="1"/>
    <n v="0"/>
    <x v="1"/>
    <n v="0"/>
    <n v="0"/>
    <n v="5"/>
    <n v="0"/>
  </r>
  <r>
    <x v="20"/>
    <s v="Gabriela Santos"/>
    <x v="0"/>
    <d v="2024-03-17T00:00:00"/>
    <x v="1"/>
    <n v="15"/>
    <x v="0"/>
    <x v="0"/>
    <n v="30"/>
    <x v="0"/>
    <n v="20"/>
    <n v="3"/>
    <n v="62"/>
    <n v="50"/>
  </r>
  <r>
    <x v="21"/>
    <s v="Henrique Dias"/>
    <x v="2"/>
    <d v="2024-03-18T00:00:00"/>
    <x v="0"/>
    <n v="10"/>
    <x v="2"/>
    <x v="1"/>
    <n v="0"/>
    <x v="0"/>
    <n v="20"/>
    <n v="15"/>
    <n v="15"/>
    <n v="20"/>
  </r>
  <r>
    <x v="22"/>
    <s v="Isabela Moreira"/>
    <x v="1"/>
    <d v="2024-03-19T00:00:00"/>
    <x v="1"/>
    <n v="5"/>
    <x v="0"/>
    <x v="1"/>
    <n v="0"/>
    <x v="1"/>
    <n v="0"/>
    <n v="1"/>
    <n v="4"/>
    <n v="0"/>
  </r>
  <r>
    <x v="23"/>
    <s v="Joaquim Barbosa"/>
    <x v="0"/>
    <d v="2024-03-20T00:00:00"/>
    <x v="0"/>
    <n v="15"/>
    <x v="1"/>
    <x v="0"/>
    <n v="30"/>
    <x v="0"/>
    <n v="20"/>
    <n v="20"/>
    <n v="45"/>
    <n v="50"/>
  </r>
  <r>
    <x v="24"/>
    <s v="Lara Rocha"/>
    <x v="2"/>
    <d v="2024-03-21T00:00:00"/>
    <x v="1"/>
    <n v="10"/>
    <x v="0"/>
    <x v="1"/>
    <n v="0"/>
    <x v="0"/>
    <n v="20"/>
    <n v="10"/>
    <n v="20"/>
    <n v="20"/>
  </r>
  <r>
    <x v="25"/>
    <s v="Matheus Silva"/>
    <x v="1"/>
    <d v="2024-03-22T00:00:00"/>
    <x v="0"/>
    <n v="5"/>
    <x v="2"/>
    <x v="1"/>
    <n v="0"/>
    <x v="1"/>
    <n v="0"/>
    <n v="0"/>
    <n v="5"/>
    <n v="0"/>
  </r>
  <r>
    <x v="26"/>
    <s v="Nicole Costa"/>
    <x v="0"/>
    <d v="2024-03-23T00:00:00"/>
    <x v="1"/>
    <n v="15"/>
    <x v="0"/>
    <x v="0"/>
    <n v="30"/>
    <x v="0"/>
    <n v="20"/>
    <n v="5"/>
    <n v="60"/>
    <n v="50"/>
  </r>
  <r>
    <x v="27"/>
    <s v="Otávio Mendonça"/>
    <x v="2"/>
    <d v="2024-03-24T00:00:00"/>
    <x v="0"/>
    <n v="10"/>
    <x v="1"/>
    <x v="1"/>
    <n v="0"/>
    <x v="0"/>
    <n v="20"/>
    <n v="15"/>
    <n v="15"/>
    <n v="20"/>
  </r>
  <r>
    <x v="28"/>
    <s v="Paula Ferreira"/>
    <x v="1"/>
    <d v="2024-03-25T00:00:00"/>
    <x v="1"/>
    <n v="5"/>
    <x v="0"/>
    <x v="1"/>
    <n v="0"/>
    <x v="1"/>
    <n v="0"/>
    <n v="1"/>
    <n v="4"/>
    <n v="0"/>
  </r>
  <r>
    <x v="29"/>
    <s v="Raquel Alves"/>
    <x v="0"/>
    <d v="2024-03-26T00:00:00"/>
    <x v="0"/>
    <n v="15"/>
    <x v="2"/>
    <x v="0"/>
    <n v="30"/>
    <x v="0"/>
    <n v="20"/>
    <n v="7"/>
    <n v="58"/>
    <n v="50"/>
  </r>
  <r>
    <x v="30"/>
    <s v="Samuel Pires"/>
    <x v="2"/>
    <d v="2024-03-27T00:00:00"/>
    <x v="1"/>
    <n v="10"/>
    <x v="0"/>
    <x v="1"/>
    <n v="0"/>
    <x v="0"/>
    <n v="20"/>
    <n v="10"/>
    <n v="20"/>
    <n v="20"/>
  </r>
  <r>
    <x v="31"/>
    <s v="Tânia Barros"/>
    <x v="1"/>
    <d v="2024-03-28T00:00:00"/>
    <x v="0"/>
    <n v="5"/>
    <x v="1"/>
    <x v="1"/>
    <n v="0"/>
    <x v="1"/>
    <n v="0"/>
    <n v="0"/>
    <n v="5"/>
    <n v="0"/>
  </r>
  <r>
    <x v="32"/>
    <s v="Vinicius Lima"/>
    <x v="0"/>
    <d v="2024-03-29T00:00:00"/>
    <x v="1"/>
    <n v="15"/>
    <x v="0"/>
    <x v="0"/>
    <n v="30"/>
    <x v="0"/>
    <n v="20"/>
    <n v="3"/>
    <n v="62"/>
    <n v="50"/>
  </r>
  <r>
    <x v="33"/>
    <s v="Yasmin Teixeira"/>
    <x v="2"/>
    <d v="2024-03-30T00:00:00"/>
    <x v="0"/>
    <n v="10"/>
    <x v="2"/>
    <x v="1"/>
    <n v="0"/>
    <x v="0"/>
    <n v="20"/>
    <n v="15"/>
    <n v="15"/>
    <n v="20"/>
  </r>
  <r>
    <x v="34"/>
    <s v="Zé Carlos"/>
    <x v="1"/>
    <d v="2024-03-31T00:00:00"/>
    <x v="1"/>
    <n v="5"/>
    <x v="0"/>
    <x v="1"/>
    <n v="0"/>
    <x v="1"/>
    <n v="0"/>
    <n v="1"/>
    <n v="4"/>
    <n v="0"/>
  </r>
  <r>
    <x v="35"/>
    <s v="Amanda Nogueira"/>
    <x v="1"/>
    <d v="2024-04-01T00:00:00"/>
    <x v="0"/>
    <n v="5"/>
    <x v="0"/>
    <x v="1"/>
    <n v="0"/>
    <x v="1"/>
    <n v="0"/>
    <n v="0"/>
    <n v="5"/>
    <n v="0"/>
  </r>
  <r>
    <x v="36"/>
    <s v="Bruno Cavalheiro"/>
    <x v="0"/>
    <d v="2024-04-02T00:00:00"/>
    <x v="1"/>
    <n v="15"/>
    <x v="2"/>
    <x v="0"/>
    <n v="30"/>
    <x v="0"/>
    <n v="20"/>
    <n v="7"/>
    <n v="58"/>
    <n v="50"/>
  </r>
  <r>
    <x v="37"/>
    <s v="Carla Dias"/>
    <x v="2"/>
    <d v="2024-04-03T00:00:00"/>
    <x v="0"/>
    <n v="10"/>
    <x v="1"/>
    <x v="1"/>
    <n v="0"/>
    <x v="0"/>
    <n v="20"/>
    <n v="10"/>
    <n v="20"/>
    <n v="20"/>
  </r>
  <r>
    <x v="38"/>
    <s v="Diego Fontes"/>
    <x v="1"/>
    <d v="2024-04-04T00:00:00"/>
    <x v="1"/>
    <n v="5"/>
    <x v="2"/>
    <x v="1"/>
    <n v="0"/>
    <x v="1"/>
    <n v="0"/>
    <n v="1"/>
    <n v="4"/>
    <n v="0"/>
  </r>
  <r>
    <x v="39"/>
    <s v="Eunice Lima"/>
    <x v="0"/>
    <d v="2024-04-05T00:00:00"/>
    <x v="0"/>
    <n v="15"/>
    <x v="0"/>
    <x v="0"/>
    <n v="30"/>
    <x v="0"/>
    <n v="20"/>
    <n v="15"/>
    <n v="50"/>
    <n v="50"/>
  </r>
  <r>
    <x v="40"/>
    <s v="Fábio Martins"/>
    <x v="2"/>
    <d v="2024-04-06T00:00:00"/>
    <x v="1"/>
    <n v="10"/>
    <x v="0"/>
    <x v="1"/>
    <n v="0"/>
    <x v="0"/>
    <n v="20"/>
    <n v="5"/>
    <n v="25"/>
    <n v="20"/>
  </r>
  <r>
    <x v="41"/>
    <s v="Gisele Araújo"/>
    <x v="1"/>
    <d v="2024-04-07T00:00:00"/>
    <x v="0"/>
    <n v="5"/>
    <x v="1"/>
    <x v="1"/>
    <n v="0"/>
    <x v="1"/>
    <n v="0"/>
    <n v="0"/>
    <n v="5"/>
    <n v="0"/>
  </r>
  <r>
    <x v="42"/>
    <s v="Hélio Castro"/>
    <x v="0"/>
    <d v="2024-04-08T00:00:00"/>
    <x v="1"/>
    <n v="15"/>
    <x v="2"/>
    <x v="0"/>
    <n v="30"/>
    <x v="0"/>
    <n v="20"/>
    <n v="20"/>
    <n v="45"/>
    <n v="50"/>
  </r>
  <r>
    <x v="43"/>
    <s v="Ingrid Menezes"/>
    <x v="2"/>
    <d v="2024-04-09T00:00:00"/>
    <x v="0"/>
    <n v="10"/>
    <x v="2"/>
    <x v="1"/>
    <n v="0"/>
    <x v="0"/>
    <n v="20"/>
    <n v="12"/>
    <n v="18"/>
    <n v="20"/>
  </r>
  <r>
    <x v="44"/>
    <s v="Jorge Baptista"/>
    <x v="1"/>
    <d v="2024-04-10T00:00:00"/>
    <x v="1"/>
    <n v="5"/>
    <x v="0"/>
    <x v="1"/>
    <n v="0"/>
    <x v="1"/>
    <n v="0"/>
    <n v="2"/>
    <n v="3"/>
    <n v="0"/>
  </r>
  <r>
    <x v="45"/>
    <s v="Kléber Oliveira"/>
    <x v="0"/>
    <d v="2024-04-11T00:00:00"/>
    <x v="0"/>
    <n v="15"/>
    <x v="1"/>
    <x v="0"/>
    <n v="30"/>
    <x v="0"/>
    <n v="20"/>
    <n v="5"/>
    <n v="60"/>
    <n v="50"/>
  </r>
  <r>
    <x v="46"/>
    <s v="Luciana Freitas"/>
    <x v="2"/>
    <d v="2024-04-12T00:00:00"/>
    <x v="1"/>
    <n v="10"/>
    <x v="0"/>
    <x v="1"/>
    <n v="0"/>
    <x v="0"/>
    <n v="20"/>
    <n v="10"/>
    <n v="20"/>
    <n v="20"/>
  </r>
  <r>
    <x v="47"/>
    <s v="Márcia Eller"/>
    <x v="1"/>
    <d v="2024-04-13T00:00:00"/>
    <x v="0"/>
    <n v="5"/>
    <x v="2"/>
    <x v="1"/>
    <n v="0"/>
    <x v="1"/>
    <n v="0"/>
    <n v="0"/>
    <n v="5"/>
    <n v="0"/>
  </r>
  <r>
    <x v="48"/>
    <s v="Nilo Peçanha"/>
    <x v="0"/>
    <d v="2024-04-14T00:00:00"/>
    <x v="1"/>
    <n v="15"/>
    <x v="0"/>
    <x v="0"/>
    <n v="30"/>
    <x v="0"/>
    <n v="20"/>
    <n v="3"/>
    <n v="62"/>
    <n v="50"/>
  </r>
  <r>
    <x v="49"/>
    <s v="Oscar Neves"/>
    <x v="2"/>
    <d v="2024-04-15T00:00:00"/>
    <x v="0"/>
    <n v="10"/>
    <x v="1"/>
    <x v="1"/>
    <n v="0"/>
    <x v="0"/>
    <n v="20"/>
    <n v="15"/>
    <n v="15"/>
    <n v="20"/>
  </r>
  <r>
    <x v="50"/>
    <s v="Patrícia Soares"/>
    <x v="1"/>
    <d v="2024-04-16T00:00:00"/>
    <x v="1"/>
    <n v="5"/>
    <x v="0"/>
    <x v="1"/>
    <n v="0"/>
    <x v="1"/>
    <n v="0"/>
    <n v="1"/>
    <n v="4"/>
    <n v="0"/>
  </r>
  <r>
    <x v="51"/>
    <s v="Quirino Gonçalves"/>
    <x v="0"/>
    <d v="2024-04-17T00:00:00"/>
    <x v="0"/>
    <n v="15"/>
    <x v="2"/>
    <x v="0"/>
    <n v="30"/>
    <x v="0"/>
    <n v="20"/>
    <n v="7"/>
    <n v="58"/>
    <n v="50"/>
  </r>
  <r>
    <x v="52"/>
    <s v="Raul Machado"/>
    <x v="2"/>
    <d v="2024-04-18T00:00:00"/>
    <x v="1"/>
    <n v="10"/>
    <x v="0"/>
    <x v="1"/>
    <n v="0"/>
    <x v="0"/>
    <n v="20"/>
    <n v="10"/>
    <n v="20"/>
    <n v="20"/>
  </r>
  <r>
    <x v="53"/>
    <s v="Sônia Lobo"/>
    <x v="1"/>
    <d v="2024-04-19T00:00:00"/>
    <x v="0"/>
    <n v="5"/>
    <x v="1"/>
    <x v="1"/>
    <n v="0"/>
    <x v="1"/>
    <n v="0"/>
    <n v="0"/>
    <n v="5"/>
    <n v="0"/>
  </r>
  <r>
    <x v="54"/>
    <s v="Tiago Ramos"/>
    <x v="0"/>
    <d v="2024-04-20T00:00:00"/>
    <x v="1"/>
    <n v="15"/>
    <x v="0"/>
    <x v="0"/>
    <n v="30"/>
    <x v="0"/>
    <n v="20"/>
    <n v="20"/>
    <n v="45"/>
    <n v="50"/>
  </r>
  <r>
    <x v="55"/>
    <s v="Ugo Pires"/>
    <x v="2"/>
    <d v="2024-04-21T00:00:00"/>
    <x v="0"/>
    <n v="10"/>
    <x v="2"/>
    <x v="1"/>
    <n v="0"/>
    <x v="0"/>
    <n v="20"/>
    <n v="15"/>
    <n v="15"/>
    <n v="20"/>
  </r>
  <r>
    <x v="56"/>
    <s v="Valéria Nobre"/>
    <x v="1"/>
    <d v="2024-04-22T00:00:00"/>
    <x v="1"/>
    <n v="5"/>
    <x v="0"/>
    <x v="1"/>
    <n v="0"/>
    <x v="1"/>
    <n v="0"/>
    <n v="1"/>
    <n v="4"/>
    <n v="0"/>
  </r>
  <r>
    <x v="57"/>
    <s v="William Siqueira"/>
    <x v="0"/>
    <d v="2024-04-23T00:00:00"/>
    <x v="0"/>
    <n v="15"/>
    <x v="1"/>
    <x v="0"/>
    <n v="30"/>
    <x v="0"/>
    <n v="20"/>
    <n v="3"/>
    <n v="62"/>
    <n v="50"/>
  </r>
  <r>
    <x v="58"/>
    <s v="Xuxa Meneghel"/>
    <x v="2"/>
    <d v="2024-04-24T00:00:00"/>
    <x v="1"/>
    <n v="10"/>
    <x v="0"/>
    <x v="1"/>
    <n v="0"/>
    <x v="0"/>
    <n v="20"/>
    <n v="10"/>
    <n v="20"/>
    <n v="20"/>
  </r>
  <r>
    <x v="59"/>
    <s v="Yara Figueiredo"/>
    <x v="1"/>
    <d v="2024-04-25T00:00:00"/>
    <x v="0"/>
    <n v="5"/>
    <x v="2"/>
    <x v="1"/>
    <n v="0"/>
    <x v="1"/>
    <n v="0"/>
    <n v="0"/>
    <n v="5"/>
    <n v="0"/>
  </r>
  <r>
    <x v="60"/>
    <s v="Zacarias Alves"/>
    <x v="0"/>
    <d v="2024-04-26T00:00:00"/>
    <x v="1"/>
    <n v="15"/>
    <x v="0"/>
    <x v="0"/>
    <n v="30"/>
    <x v="0"/>
    <n v="20"/>
    <n v="5"/>
    <n v="60"/>
    <n v="50"/>
  </r>
  <r>
    <x v="61"/>
    <s v="Amanda Bynes"/>
    <x v="2"/>
    <d v="2024-04-27T00:00:00"/>
    <x v="0"/>
    <n v="10"/>
    <x v="1"/>
    <x v="1"/>
    <n v="0"/>
    <x v="0"/>
    <n v="20"/>
    <n v="15"/>
    <n v="15"/>
    <n v="20"/>
  </r>
  <r>
    <x v="62"/>
    <s v="Bruno Mars"/>
    <x v="1"/>
    <d v="2024-04-28T00:00:00"/>
    <x v="1"/>
    <n v="5"/>
    <x v="0"/>
    <x v="1"/>
    <n v="0"/>
    <x v="1"/>
    <n v="0"/>
    <n v="1"/>
    <n v="4"/>
    <n v="0"/>
  </r>
  <r>
    <x v="63"/>
    <s v="Carla Bruni"/>
    <x v="0"/>
    <d v="2024-04-29T00:00:00"/>
    <x v="0"/>
    <n v="15"/>
    <x v="2"/>
    <x v="0"/>
    <n v="30"/>
    <x v="0"/>
    <n v="20"/>
    <n v="20"/>
    <n v="45"/>
    <n v="50"/>
  </r>
  <r>
    <x v="64"/>
    <s v="Diego Maradona"/>
    <x v="2"/>
    <d v="2024-04-30T00:00:00"/>
    <x v="1"/>
    <n v="10"/>
    <x v="0"/>
    <x v="1"/>
    <n v="0"/>
    <x v="0"/>
    <n v="20"/>
    <n v="5"/>
    <n v="25"/>
    <n v="20"/>
  </r>
  <r>
    <x v="65"/>
    <s v="Estela Marques"/>
    <x v="1"/>
    <d v="2024-05-01T00:00:00"/>
    <x v="1"/>
    <n v="5"/>
    <x v="0"/>
    <x v="1"/>
    <n v="0"/>
    <x v="1"/>
    <n v="0"/>
    <n v="0"/>
    <n v="5"/>
    <n v="0"/>
  </r>
  <r>
    <x v="66"/>
    <s v="Fábio Nobre"/>
    <x v="0"/>
    <d v="2024-05-02T00:00:00"/>
    <x v="0"/>
    <n v="15"/>
    <x v="2"/>
    <x v="0"/>
    <n v="30"/>
    <x v="0"/>
    <n v="20"/>
    <n v="7"/>
    <n v="58"/>
    <n v="50"/>
  </r>
  <r>
    <x v="67"/>
    <s v="Gabriel Oliveira"/>
    <x v="2"/>
    <d v="2024-05-03T00:00:00"/>
    <x v="1"/>
    <n v="10"/>
    <x v="1"/>
    <x v="1"/>
    <n v="0"/>
    <x v="0"/>
    <n v="20"/>
    <n v="10"/>
    <n v="20"/>
    <n v="20"/>
  </r>
  <r>
    <x v="68"/>
    <s v="Helena Santos"/>
    <x v="1"/>
    <d v="2024-05-04T00:00:00"/>
    <x v="0"/>
    <n v="5"/>
    <x v="2"/>
    <x v="1"/>
    <n v="0"/>
    <x v="1"/>
    <n v="0"/>
    <n v="1"/>
    <n v="4"/>
    <n v="0"/>
  </r>
  <r>
    <x v="69"/>
    <s v="Ivan Carvalho"/>
    <x v="0"/>
    <d v="2024-05-05T00:00:00"/>
    <x v="1"/>
    <n v="15"/>
    <x v="0"/>
    <x v="0"/>
    <n v="30"/>
    <x v="0"/>
    <n v="20"/>
    <n v="15"/>
    <n v="50"/>
    <n v="50"/>
  </r>
  <r>
    <x v="70"/>
    <s v="Júlia Ferreira"/>
    <x v="2"/>
    <d v="2024-05-06T00:00:00"/>
    <x v="0"/>
    <n v="10"/>
    <x v="0"/>
    <x v="1"/>
    <n v="0"/>
    <x v="0"/>
    <n v="20"/>
    <n v="5"/>
    <n v="25"/>
    <n v="20"/>
  </r>
  <r>
    <x v="71"/>
    <s v="Karla Alves"/>
    <x v="1"/>
    <d v="2024-05-07T00:00:00"/>
    <x v="1"/>
    <n v="5"/>
    <x v="1"/>
    <x v="1"/>
    <n v="0"/>
    <x v="1"/>
    <n v="0"/>
    <n v="0"/>
    <n v="5"/>
    <n v="0"/>
  </r>
  <r>
    <x v="72"/>
    <s v="Lucas Mendes"/>
    <x v="0"/>
    <d v="2024-05-08T00:00:00"/>
    <x v="0"/>
    <n v="15"/>
    <x v="2"/>
    <x v="0"/>
    <n v="30"/>
    <x v="0"/>
    <n v="20"/>
    <n v="20"/>
    <n v="45"/>
    <n v="50"/>
  </r>
  <r>
    <x v="73"/>
    <s v="Mônica Gomes"/>
    <x v="2"/>
    <d v="2024-05-09T00:00:00"/>
    <x v="1"/>
    <n v="10"/>
    <x v="2"/>
    <x v="1"/>
    <n v="0"/>
    <x v="0"/>
    <n v="20"/>
    <n v="12"/>
    <n v="18"/>
    <n v="20"/>
  </r>
  <r>
    <x v="74"/>
    <s v="Norberto Queiroz"/>
    <x v="1"/>
    <d v="2024-05-10T00:00:00"/>
    <x v="0"/>
    <n v="5"/>
    <x v="0"/>
    <x v="1"/>
    <n v="0"/>
    <x v="1"/>
    <n v="0"/>
    <n v="2"/>
    <n v="3"/>
    <n v="0"/>
  </r>
  <r>
    <x v="75"/>
    <s v="Otávio Barros"/>
    <x v="0"/>
    <d v="2024-05-11T00:00:00"/>
    <x v="1"/>
    <n v="15"/>
    <x v="1"/>
    <x v="0"/>
    <n v="30"/>
    <x v="0"/>
    <n v="20"/>
    <n v="5"/>
    <n v="60"/>
    <n v="50"/>
  </r>
  <r>
    <x v="76"/>
    <s v="Paula Vieira"/>
    <x v="2"/>
    <d v="2024-05-12T00:00:00"/>
    <x v="0"/>
    <n v="10"/>
    <x v="0"/>
    <x v="1"/>
    <n v="0"/>
    <x v="0"/>
    <n v="20"/>
    <n v="10"/>
    <n v="20"/>
    <n v="20"/>
  </r>
  <r>
    <x v="77"/>
    <s v="Quentin Ramos"/>
    <x v="1"/>
    <d v="2024-05-13T00:00:00"/>
    <x v="1"/>
    <n v="5"/>
    <x v="2"/>
    <x v="1"/>
    <n v="0"/>
    <x v="1"/>
    <n v="0"/>
    <n v="0"/>
    <n v="5"/>
    <n v="0"/>
  </r>
  <r>
    <x v="78"/>
    <s v="Raquel Novaes"/>
    <x v="0"/>
    <d v="2024-05-14T00:00:00"/>
    <x v="0"/>
    <n v="15"/>
    <x v="0"/>
    <x v="0"/>
    <n v="30"/>
    <x v="0"/>
    <n v="20"/>
    <n v="3"/>
    <n v="62"/>
    <n v="50"/>
  </r>
  <r>
    <x v="79"/>
    <s v="Samantha Lopes"/>
    <x v="2"/>
    <d v="2024-05-15T00:00:00"/>
    <x v="1"/>
    <n v="10"/>
    <x v="1"/>
    <x v="1"/>
    <n v="0"/>
    <x v="0"/>
    <n v="20"/>
    <n v="15"/>
    <n v="15"/>
    <n v="20"/>
  </r>
  <r>
    <x v="80"/>
    <s v="Tiago Martins"/>
    <x v="1"/>
    <d v="2024-05-16T00:00:00"/>
    <x v="0"/>
    <n v="5"/>
    <x v="0"/>
    <x v="1"/>
    <n v="0"/>
    <x v="1"/>
    <n v="0"/>
    <n v="1"/>
    <n v="4"/>
    <n v="0"/>
  </r>
  <r>
    <x v="81"/>
    <s v="Ulysses Guimarães"/>
    <x v="0"/>
    <d v="2024-05-17T00:00:00"/>
    <x v="1"/>
    <n v="15"/>
    <x v="2"/>
    <x v="0"/>
    <n v="30"/>
    <x v="0"/>
    <n v="20"/>
    <n v="7"/>
    <n v="58"/>
    <n v="50"/>
  </r>
  <r>
    <x v="82"/>
    <s v="Vanessa Silva"/>
    <x v="2"/>
    <d v="2024-05-18T00:00:00"/>
    <x v="0"/>
    <n v="10"/>
    <x v="0"/>
    <x v="1"/>
    <n v="0"/>
    <x v="0"/>
    <n v="20"/>
    <n v="10"/>
    <n v="20"/>
    <n v="20"/>
  </r>
  <r>
    <x v="83"/>
    <s v="William Carneiro"/>
    <x v="1"/>
    <d v="2024-05-19T00:00:00"/>
    <x v="1"/>
    <n v="5"/>
    <x v="1"/>
    <x v="1"/>
    <n v="0"/>
    <x v="1"/>
    <n v="0"/>
    <n v="0"/>
    <n v="5"/>
    <n v="0"/>
  </r>
  <r>
    <x v="84"/>
    <s v="Ximena Rocha"/>
    <x v="0"/>
    <d v="2024-05-20T00:00:00"/>
    <x v="0"/>
    <n v="15"/>
    <x v="0"/>
    <x v="0"/>
    <n v="30"/>
    <x v="0"/>
    <n v="20"/>
    <n v="20"/>
    <n v="45"/>
    <n v="50"/>
  </r>
  <r>
    <x v="85"/>
    <s v="Yasmin Figueiredo"/>
    <x v="2"/>
    <d v="2024-05-21T00:00:00"/>
    <x v="1"/>
    <n v="10"/>
    <x v="2"/>
    <x v="1"/>
    <n v="0"/>
    <x v="0"/>
    <n v="20"/>
    <n v="15"/>
    <n v="15"/>
    <n v="20"/>
  </r>
  <r>
    <x v="86"/>
    <s v="Zara Cunha"/>
    <x v="1"/>
    <d v="2024-05-22T00:00:00"/>
    <x v="0"/>
    <n v="5"/>
    <x v="0"/>
    <x v="1"/>
    <n v="0"/>
    <x v="1"/>
    <n v="0"/>
    <n v="1"/>
    <n v="4"/>
    <n v="0"/>
  </r>
  <r>
    <x v="87"/>
    <s v="Alan Teixeira"/>
    <x v="0"/>
    <d v="2024-05-23T00:00:00"/>
    <x v="1"/>
    <n v="15"/>
    <x v="1"/>
    <x v="0"/>
    <n v="30"/>
    <x v="0"/>
    <n v="20"/>
    <n v="3"/>
    <n v="62"/>
    <n v="50"/>
  </r>
  <r>
    <x v="88"/>
    <s v="Bárbara Oliveira"/>
    <x v="2"/>
    <d v="2024-05-24T00:00:00"/>
    <x v="0"/>
    <n v="10"/>
    <x v="0"/>
    <x v="1"/>
    <n v="0"/>
    <x v="0"/>
    <n v="20"/>
    <n v="10"/>
    <n v="20"/>
    <n v="20"/>
  </r>
  <r>
    <x v="89"/>
    <s v="Carlos Junqueira"/>
    <x v="1"/>
    <d v="2024-05-25T00:00:00"/>
    <x v="1"/>
    <n v="5"/>
    <x v="2"/>
    <x v="1"/>
    <n v="0"/>
    <x v="1"/>
    <n v="0"/>
    <n v="0"/>
    <n v="5"/>
    <n v="0"/>
  </r>
  <r>
    <x v="90"/>
    <s v="Daniela Moura"/>
    <x v="0"/>
    <d v="2024-05-26T00:00:00"/>
    <x v="0"/>
    <n v="15"/>
    <x v="0"/>
    <x v="0"/>
    <n v="30"/>
    <x v="0"/>
    <n v="20"/>
    <n v="5"/>
    <n v="60"/>
    <n v="50"/>
  </r>
  <r>
    <x v="91"/>
    <s v="Eduardo Lima"/>
    <x v="2"/>
    <d v="2024-05-27T00:00:00"/>
    <x v="1"/>
    <n v="10"/>
    <x v="1"/>
    <x v="1"/>
    <n v="0"/>
    <x v="0"/>
    <n v="20"/>
    <n v="15"/>
    <n v="15"/>
    <n v="20"/>
  </r>
  <r>
    <x v="92"/>
    <s v="Fabiana Araújo"/>
    <x v="1"/>
    <d v="2024-05-28T00:00:00"/>
    <x v="0"/>
    <n v="5"/>
    <x v="0"/>
    <x v="1"/>
    <n v="0"/>
    <x v="1"/>
    <n v="0"/>
    <n v="1"/>
    <n v="4"/>
    <n v="0"/>
  </r>
  <r>
    <x v="93"/>
    <s v="Geraldo Ribeiro"/>
    <x v="0"/>
    <d v="2024-05-29T00:00:00"/>
    <x v="1"/>
    <n v="15"/>
    <x v="2"/>
    <x v="0"/>
    <n v="30"/>
    <x v="0"/>
    <n v="20"/>
    <n v="20"/>
    <n v="45"/>
    <n v="50"/>
  </r>
  <r>
    <x v="94"/>
    <s v="Héctor Vargas"/>
    <x v="2"/>
    <d v="2024-05-30T00:00:00"/>
    <x v="0"/>
    <n v="10"/>
    <x v="2"/>
    <x v="1"/>
    <n v="0"/>
    <x v="0"/>
    <n v="20"/>
    <n v="15"/>
    <n v="15"/>
    <n v="20"/>
  </r>
  <r>
    <x v="95"/>
    <s v="Isabela Fonseca"/>
    <x v="1"/>
    <d v="2024-05-31T00:00:00"/>
    <x v="1"/>
    <n v="5"/>
    <x v="1"/>
    <x v="1"/>
    <n v="0"/>
    <x v="1"/>
    <n v="0"/>
    <n v="0"/>
    <n v="5"/>
    <n v="0"/>
  </r>
  <r>
    <x v="96"/>
    <s v="João Pedro Almeida"/>
    <x v="0"/>
    <d v="2024-06-01T00:00:00"/>
    <x v="0"/>
    <n v="15"/>
    <x v="0"/>
    <x v="0"/>
    <n v="30"/>
    <x v="0"/>
    <n v="20"/>
    <n v="7"/>
    <n v="58"/>
    <n v="50"/>
  </r>
  <r>
    <x v="97"/>
    <s v="Klara Costa"/>
    <x v="2"/>
    <d v="2024-06-02T00:00:00"/>
    <x v="1"/>
    <n v="10"/>
    <x v="1"/>
    <x v="1"/>
    <n v="0"/>
    <x v="0"/>
    <n v="20"/>
    <n v="10"/>
    <n v="20"/>
    <n v="20"/>
  </r>
  <r>
    <x v="98"/>
    <s v="Luciana Mendes"/>
    <x v="1"/>
    <d v="2024-06-03T00:00:00"/>
    <x v="0"/>
    <n v="5"/>
    <x v="2"/>
    <x v="1"/>
    <n v="0"/>
    <x v="1"/>
    <n v="0"/>
    <n v="1"/>
    <n v="4"/>
    <n v="0"/>
  </r>
  <r>
    <x v="99"/>
    <s v="Marcelo Gouveia"/>
    <x v="0"/>
    <d v="2024-06-04T00:00:00"/>
    <x v="1"/>
    <n v="15"/>
    <x v="0"/>
    <x v="0"/>
    <n v="30"/>
    <x v="0"/>
    <n v="20"/>
    <n v="15"/>
    <n v="50"/>
    <n v="50"/>
  </r>
  <r>
    <x v="100"/>
    <s v="Nívea Borges"/>
    <x v="2"/>
    <d v="2024-06-05T00:00:00"/>
    <x v="0"/>
    <n v="10"/>
    <x v="0"/>
    <x v="1"/>
    <n v="0"/>
    <x v="0"/>
    <n v="20"/>
    <n v="5"/>
    <n v="25"/>
    <n v="20"/>
  </r>
  <r>
    <x v="101"/>
    <s v="Oscar Nogueira"/>
    <x v="1"/>
    <d v="2024-06-06T00:00:00"/>
    <x v="1"/>
    <n v="5"/>
    <x v="1"/>
    <x v="1"/>
    <n v="0"/>
    <x v="1"/>
    <n v="0"/>
    <n v="0"/>
    <n v="5"/>
    <n v="0"/>
  </r>
  <r>
    <x v="102"/>
    <s v="Patrícia Alves"/>
    <x v="0"/>
    <d v="2024-06-07T00:00:00"/>
    <x v="0"/>
    <n v="15"/>
    <x v="2"/>
    <x v="0"/>
    <n v="30"/>
    <x v="0"/>
    <n v="20"/>
    <n v="20"/>
    <n v="45"/>
    <n v="50"/>
  </r>
  <r>
    <x v="103"/>
    <s v="Rafaela Silva"/>
    <x v="2"/>
    <d v="2024-06-08T00:00:00"/>
    <x v="1"/>
    <n v="10"/>
    <x v="2"/>
    <x v="1"/>
    <n v="0"/>
    <x v="0"/>
    <n v="20"/>
    <n v="12"/>
    <n v="18"/>
    <n v="20"/>
  </r>
  <r>
    <x v="104"/>
    <s v="Samantha Moraes"/>
    <x v="1"/>
    <d v="2024-06-09T00:00:00"/>
    <x v="0"/>
    <n v="5"/>
    <x v="0"/>
    <x v="1"/>
    <n v="0"/>
    <x v="1"/>
    <n v="0"/>
    <n v="2"/>
    <n v="3"/>
    <n v="0"/>
  </r>
  <r>
    <x v="105"/>
    <s v="Tatiana Rocha"/>
    <x v="1"/>
    <d v="2024-06-10T00:00:00"/>
    <x v="0"/>
    <n v="5"/>
    <x v="0"/>
    <x v="1"/>
    <n v="0"/>
    <x v="1"/>
    <n v="0"/>
    <n v="0"/>
    <n v="5"/>
    <n v="0"/>
  </r>
  <r>
    <x v="106"/>
    <s v="Ulisses Tavares"/>
    <x v="0"/>
    <d v="2024-06-11T00:00:00"/>
    <x v="1"/>
    <n v="15"/>
    <x v="2"/>
    <x v="0"/>
    <n v="30"/>
    <x v="0"/>
    <n v="20"/>
    <n v="7"/>
    <n v="58"/>
    <n v="50"/>
  </r>
  <r>
    <x v="107"/>
    <s v="Víctor Lemos"/>
    <x v="2"/>
    <d v="2024-06-12T00:00:00"/>
    <x v="0"/>
    <n v="10"/>
    <x v="1"/>
    <x v="1"/>
    <n v="0"/>
    <x v="0"/>
    <n v="20"/>
    <n v="10"/>
    <n v="20"/>
    <n v="20"/>
  </r>
  <r>
    <x v="108"/>
    <s v="Wilma Barros"/>
    <x v="1"/>
    <d v="2024-06-13T00:00:00"/>
    <x v="1"/>
    <n v="5"/>
    <x v="2"/>
    <x v="1"/>
    <n v="0"/>
    <x v="1"/>
    <n v="0"/>
    <n v="1"/>
    <n v="4"/>
    <n v="0"/>
  </r>
  <r>
    <x v="109"/>
    <s v="Xavier Nascimento"/>
    <x v="0"/>
    <d v="2024-06-14T00:00:00"/>
    <x v="0"/>
    <n v="15"/>
    <x v="0"/>
    <x v="0"/>
    <n v="30"/>
    <x v="0"/>
    <n v="20"/>
    <n v="15"/>
    <n v="50"/>
    <n v="50"/>
  </r>
  <r>
    <x v="110"/>
    <s v="Yago Pereira"/>
    <x v="2"/>
    <d v="2024-06-15T00:00:00"/>
    <x v="1"/>
    <n v="10"/>
    <x v="0"/>
    <x v="1"/>
    <n v="0"/>
    <x v="0"/>
    <n v="20"/>
    <n v="5"/>
    <n v="25"/>
    <n v="20"/>
  </r>
  <r>
    <x v="111"/>
    <s v="Zilda Ferreira"/>
    <x v="1"/>
    <d v="2024-06-16T00:00:00"/>
    <x v="0"/>
    <n v="5"/>
    <x v="1"/>
    <x v="1"/>
    <n v="0"/>
    <x v="1"/>
    <n v="0"/>
    <n v="0"/>
    <n v="5"/>
    <n v="0"/>
  </r>
  <r>
    <x v="112"/>
    <s v="Amanda Lopes"/>
    <x v="0"/>
    <d v="2024-06-17T00:00:00"/>
    <x v="1"/>
    <n v="15"/>
    <x v="2"/>
    <x v="0"/>
    <n v="30"/>
    <x v="0"/>
    <n v="20"/>
    <n v="20"/>
    <n v="45"/>
    <n v="50"/>
  </r>
  <r>
    <x v="113"/>
    <s v="Bruno Miranda"/>
    <x v="2"/>
    <d v="2024-06-18T00:00:00"/>
    <x v="0"/>
    <n v="10"/>
    <x v="2"/>
    <x v="1"/>
    <n v="0"/>
    <x v="0"/>
    <n v="20"/>
    <n v="12"/>
    <n v="18"/>
    <n v="20"/>
  </r>
  <r>
    <x v="114"/>
    <s v="Célia Torres"/>
    <x v="1"/>
    <d v="2024-06-19T00:00:00"/>
    <x v="1"/>
    <n v="5"/>
    <x v="0"/>
    <x v="1"/>
    <n v="0"/>
    <x v="1"/>
    <n v="0"/>
    <n v="2"/>
    <n v="3"/>
    <n v="0"/>
  </r>
  <r>
    <x v="115"/>
    <s v="Diogo Souza"/>
    <x v="0"/>
    <d v="2024-06-20T00:00:00"/>
    <x v="0"/>
    <n v="15"/>
    <x v="1"/>
    <x v="0"/>
    <n v="30"/>
    <x v="0"/>
    <n v="20"/>
    <n v="5"/>
    <n v="60"/>
    <n v="50"/>
  </r>
  <r>
    <x v="116"/>
    <s v="Elisa Castro"/>
    <x v="2"/>
    <d v="2024-06-21T00:00:00"/>
    <x v="1"/>
    <n v="10"/>
    <x v="0"/>
    <x v="1"/>
    <n v="0"/>
    <x v="0"/>
    <n v="20"/>
    <n v="10"/>
    <n v="20"/>
    <n v="20"/>
  </r>
  <r>
    <x v="117"/>
    <s v="Fátima Lima"/>
    <x v="1"/>
    <d v="2024-06-22T00:00:00"/>
    <x v="0"/>
    <n v="5"/>
    <x v="2"/>
    <x v="1"/>
    <n v="0"/>
    <x v="1"/>
    <n v="0"/>
    <n v="0"/>
    <n v="5"/>
    <n v="0"/>
  </r>
  <r>
    <x v="118"/>
    <s v="Geraldo Ribeiro"/>
    <x v="0"/>
    <d v="2024-06-23T00:00:00"/>
    <x v="1"/>
    <n v="15"/>
    <x v="0"/>
    <x v="0"/>
    <n v="30"/>
    <x v="0"/>
    <n v="20"/>
    <n v="3"/>
    <n v="62"/>
    <n v="50"/>
  </r>
  <r>
    <x v="119"/>
    <s v="Hélio Martins"/>
    <x v="2"/>
    <d v="2024-06-24T00:00:00"/>
    <x v="0"/>
    <n v="10"/>
    <x v="1"/>
    <x v="1"/>
    <n v="0"/>
    <x v="0"/>
    <n v="20"/>
    <n v="15"/>
    <n v="15"/>
    <n v="20"/>
  </r>
  <r>
    <x v="120"/>
    <s v="Íris Santos"/>
    <x v="1"/>
    <d v="2024-06-25T00:00:00"/>
    <x v="1"/>
    <n v="5"/>
    <x v="0"/>
    <x v="1"/>
    <n v="0"/>
    <x v="1"/>
    <n v="0"/>
    <n v="1"/>
    <n v="4"/>
    <n v="0"/>
  </r>
  <r>
    <x v="121"/>
    <s v="João Marcelo"/>
    <x v="0"/>
    <d v="2024-06-26T00:00:00"/>
    <x v="0"/>
    <n v="15"/>
    <x v="2"/>
    <x v="0"/>
    <n v="30"/>
    <x v="0"/>
    <n v="20"/>
    <n v="7"/>
    <n v="58"/>
    <n v="50"/>
  </r>
  <r>
    <x v="122"/>
    <s v="Larissa Gomes"/>
    <x v="2"/>
    <d v="2024-06-27T00:00:00"/>
    <x v="1"/>
    <n v="10"/>
    <x v="0"/>
    <x v="1"/>
    <n v="0"/>
    <x v="0"/>
    <n v="20"/>
    <n v="10"/>
    <n v="20"/>
    <n v="20"/>
  </r>
  <r>
    <x v="123"/>
    <s v="Márcio Silva"/>
    <x v="1"/>
    <d v="2024-06-28T00:00:00"/>
    <x v="0"/>
    <n v="5"/>
    <x v="1"/>
    <x v="1"/>
    <n v="0"/>
    <x v="1"/>
    <n v="0"/>
    <n v="0"/>
    <n v="5"/>
    <n v="0"/>
  </r>
  <r>
    <x v="124"/>
    <s v="Nadia Costa"/>
    <x v="0"/>
    <d v="2024-06-29T00:00:00"/>
    <x v="1"/>
    <n v="15"/>
    <x v="0"/>
    <x v="0"/>
    <n v="30"/>
    <x v="0"/>
    <n v="20"/>
    <n v="20"/>
    <n v="45"/>
    <n v="50"/>
  </r>
  <r>
    <x v="125"/>
    <s v="Oscar Almeida"/>
    <x v="2"/>
    <d v="2024-06-30T00:00:00"/>
    <x v="0"/>
    <n v="10"/>
    <x v="2"/>
    <x v="1"/>
    <n v="0"/>
    <x v="0"/>
    <n v="20"/>
    <n v="15"/>
    <n v="15"/>
    <n v="20"/>
  </r>
  <r>
    <x v="126"/>
    <s v="Patricia Soares"/>
    <x v="1"/>
    <d v="2024-07-01T00:00:00"/>
    <x v="1"/>
    <n v="5"/>
    <x v="0"/>
    <x v="1"/>
    <n v="0"/>
    <x v="1"/>
    <n v="0"/>
    <n v="1"/>
    <n v="4"/>
    <n v="0"/>
  </r>
  <r>
    <x v="127"/>
    <s v="Quênia Barros"/>
    <x v="0"/>
    <d v="2024-07-02T00:00:00"/>
    <x v="0"/>
    <n v="15"/>
    <x v="1"/>
    <x v="0"/>
    <n v="30"/>
    <x v="0"/>
    <n v="20"/>
    <n v="3"/>
    <n v="62"/>
    <n v="50"/>
  </r>
  <r>
    <x v="128"/>
    <s v="Rafael Torres"/>
    <x v="2"/>
    <d v="2024-07-03T00:00:00"/>
    <x v="1"/>
    <n v="10"/>
    <x v="0"/>
    <x v="1"/>
    <n v="0"/>
    <x v="0"/>
    <n v="20"/>
    <n v="10"/>
    <n v="20"/>
    <n v="20"/>
  </r>
  <r>
    <x v="129"/>
    <s v="Silvia Nascimento"/>
    <x v="1"/>
    <d v="2024-07-04T00:00:00"/>
    <x v="0"/>
    <n v="5"/>
    <x v="2"/>
    <x v="1"/>
    <n v="0"/>
    <x v="1"/>
    <n v="0"/>
    <n v="0"/>
    <n v="5"/>
    <n v="0"/>
  </r>
  <r>
    <x v="130"/>
    <s v="Tiago Mendes"/>
    <x v="0"/>
    <d v="2024-07-05T00:00:00"/>
    <x v="1"/>
    <n v="15"/>
    <x v="0"/>
    <x v="0"/>
    <n v="30"/>
    <x v="0"/>
    <n v="20"/>
    <n v="15"/>
    <n v="50"/>
    <n v="50"/>
  </r>
  <r>
    <x v="131"/>
    <s v="Ursula Silva"/>
    <x v="2"/>
    <d v="2024-07-06T00:00:00"/>
    <x v="0"/>
    <n v="10"/>
    <x v="1"/>
    <x v="1"/>
    <n v="0"/>
    <x v="0"/>
    <n v="20"/>
    <n v="15"/>
    <n v="15"/>
    <n v="20"/>
  </r>
  <r>
    <x v="132"/>
    <s v="Vanessa Moraes"/>
    <x v="1"/>
    <d v="2024-07-07T00:00:00"/>
    <x v="1"/>
    <n v="5"/>
    <x v="0"/>
    <x v="1"/>
    <n v="0"/>
    <x v="1"/>
    <n v="0"/>
    <n v="1"/>
    <n v="4"/>
    <n v="0"/>
  </r>
  <r>
    <x v="133"/>
    <s v="Waldir Junior"/>
    <x v="0"/>
    <d v="2024-07-08T00:00:00"/>
    <x v="0"/>
    <n v="15"/>
    <x v="2"/>
    <x v="0"/>
    <n v="30"/>
    <x v="0"/>
    <n v="20"/>
    <n v="7"/>
    <n v="58"/>
    <n v="50"/>
  </r>
  <r>
    <x v="134"/>
    <s v="Xavier Lopes"/>
    <x v="2"/>
    <d v="2024-07-09T00:00:00"/>
    <x v="1"/>
    <n v="10"/>
    <x v="0"/>
    <x v="1"/>
    <n v="0"/>
    <x v="0"/>
    <n v="20"/>
    <n v="10"/>
    <n v="20"/>
    <n v="20"/>
  </r>
  <r>
    <x v="135"/>
    <s v="Yolanda Freitas"/>
    <x v="1"/>
    <d v="2024-07-10T00:00:00"/>
    <x v="0"/>
    <n v="5"/>
    <x v="0"/>
    <x v="1"/>
    <n v="0"/>
    <x v="1"/>
    <n v="0"/>
    <n v="0"/>
    <n v="5"/>
    <n v="0"/>
  </r>
  <r>
    <x v="136"/>
    <s v="Zacarias Nunes"/>
    <x v="0"/>
    <d v="2024-07-11T00:00:00"/>
    <x v="1"/>
    <n v="15"/>
    <x v="2"/>
    <x v="0"/>
    <n v="30"/>
    <x v="0"/>
    <n v="20"/>
    <n v="7"/>
    <n v="58"/>
    <n v="50"/>
  </r>
  <r>
    <x v="137"/>
    <s v="Ana Clara Barreto"/>
    <x v="2"/>
    <d v="2024-07-12T00:00:00"/>
    <x v="0"/>
    <n v="10"/>
    <x v="1"/>
    <x v="1"/>
    <n v="0"/>
    <x v="0"/>
    <n v="20"/>
    <n v="10"/>
    <n v="20"/>
    <n v="20"/>
  </r>
  <r>
    <x v="138"/>
    <s v="Bruno Henrique"/>
    <x v="1"/>
    <d v="2024-07-13T00:00:00"/>
    <x v="1"/>
    <n v="5"/>
    <x v="2"/>
    <x v="1"/>
    <n v="0"/>
    <x v="1"/>
    <n v="0"/>
    <n v="1"/>
    <n v="4"/>
    <n v="0"/>
  </r>
  <r>
    <x v="139"/>
    <s v="Carlos Eduardo"/>
    <x v="0"/>
    <d v="2024-07-14T00:00:00"/>
    <x v="0"/>
    <n v="15"/>
    <x v="0"/>
    <x v="0"/>
    <n v="30"/>
    <x v="0"/>
    <n v="20"/>
    <n v="15"/>
    <n v="50"/>
    <n v="50"/>
  </r>
  <r>
    <x v="140"/>
    <s v="Débora Lima"/>
    <x v="2"/>
    <d v="2024-07-15T00:00:00"/>
    <x v="1"/>
    <n v="10"/>
    <x v="0"/>
    <x v="1"/>
    <n v="0"/>
    <x v="0"/>
    <n v="20"/>
    <n v="5"/>
    <n v="25"/>
    <n v="20"/>
  </r>
  <r>
    <x v="141"/>
    <s v="Elisa Neves"/>
    <x v="1"/>
    <d v="2024-07-16T00:00:00"/>
    <x v="0"/>
    <n v="5"/>
    <x v="1"/>
    <x v="1"/>
    <n v="0"/>
    <x v="1"/>
    <n v="0"/>
    <n v="0"/>
    <n v="5"/>
    <n v="0"/>
  </r>
  <r>
    <x v="142"/>
    <s v="Fabiano Gomes"/>
    <x v="0"/>
    <d v="2024-07-17T00:00:00"/>
    <x v="1"/>
    <n v="15"/>
    <x v="2"/>
    <x v="0"/>
    <n v="30"/>
    <x v="0"/>
    <n v="20"/>
    <n v="20"/>
    <n v="45"/>
    <n v="50"/>
  </r>
  <r>
    <x v="143"/>
    <s v="Gisele Oliveira"/>
    <x v="2"/>
    <d v="2024-07-18T00:00:00"/>
    <x v="0"/>
    <n v="10"/>
    <x v="2"/>
    <x v="1"/>
    <n v="0"/>
    <x v="0"/>
    <n v="20"/>
    <n v="12"/>
    <n v="18"/>
    <n v="20"/>
  </r>
  <r>
    <x v="144"/>
    <s v="Héctor Silva"/>
    <x v="1"/>
    <d v="2024-07-19T00:00:00"/>
    <x v="1"/>
    <n v="5"/>
    <x v="0"/>
    <x v="1"/>
    <n v="0"/>
    <x v="1"/>
    <n v="0"/>
    <n v="2"/>
    <n v="3"/>
    <n v="0"/>
  </r>
  <r>
    <x v="145"/>
    <s v="Igor Martins"/>
    <x v="0"/>
    <d v="2024-07-20T00:00:00"/>
    <x v="0"/>
    <n v="15"/>
    <x v="1"/>
    <x v="0"/>
    <n v="30"/>
    <x v="0"/>
    <n v="20"/>
    <n v="5"/>
    <n v="60"/>
    <n v="50"/>
  </r>
  <r>
    <x v="146"/>
    <s v="Joana Figueiredo"/>
    <x v="2"/>
    <d v="2024-07-21T00:00:00"/>
    <x v="1"/>
    <n v="10"/>
    <x v="0"/>
    <x v="1"/>
    <n v="0"/>
    <x v="0"/>
    <n v="20"/>
    <n v="10"/>
    <n v="20"/>
    <n v="20"/>
  </r>
  <r>
    <x v="147"/>
    <s v="Kleber Machado"/>
    <x v="1"/>
    <d v="2024-07-22T00:00:00"/>
    <x v="0"/>
    <n v="5"/>
    <x v="2"/>
    <x v="1"/>
    <n v="0"/>
    <x v="1"/>
    <n v="0"/>
    <n v="0"/>
    <n v="5"/>
    <n v="0"/>
  </r>
  <r>
    <x v="148"/>
    <s v="Luciana Santos"/>
    <x v="0"/>
    <d v="2024-07-23T00:00:00"/>
    <x v="1"/>
    <n v="15"/>
    <x v="0"/>
    <x v="0"/>
    <n v="30"/>
    <x v="0"/>
    <n v="20"/>
    <n v="3"/>
    <n v="62"/>
    <n v="50"/>
  </r>
  <r>
    <x v="149"/>
    <s v="Marcos Teixeira"/>
    <x v="2"/>
    <d v="2024-07-24T00:00:00"/>
    <x v="0"/>
    <n v="10"/>
    <x v="1"/>
    <x v="1"/>
    <n v="0"/>
    <x v="0"/>
    <n v="20"/>
    <n v="15"/>
    <n v="15"/>
    <n v="20"/>
  </r>
  <r>
    <x v="150"/>
    <s v="Natalia Costa"/>
    <x v="1"/>
    <d v="2024-07-25T00:00:00"/>
    <x v="1"/>
    <n v="5"/>
    <x v="0"/>
    <x v="1"/>
    <n v="0"/>
    <x v="1"/>
    <n v="0"/>
    <n v="1"/>
    <n v="4"/>
    <n v="0"/>
  </r>
  <r>
    <x v="151"/>
    <s v="Oscar Ribeiro"/>
    <x v="0"/>
    <d v="2024-07-26T00:00:00"/>
    <x v="0"/>
    <n v="15"/>
    <x v="2"/>
    <x v="0"/>
    <n v="30"/>
    <x v="0"/>
    <n v="20"/>
    <n v="7"/>
    <n v="58"/>
    <n v="50"/>
  </r>
  <r>
    <x v="152"/>
    <s v="Patricia Almeida"/>
    <x v="2"/>
    <d v="2024-07-27T00:00:00"/>
    <x v="1"/>
    <n v="10"/>
    <x v="0"/>
    <x v="1"/>
    <n v="0"/>
    <x v="0"/>
    <n v="20"/>
    <n v="10"/>
    <n v="20"/>
    <n v="20"/>
  </r>
  <r>
    <x v="153"/>
    <s v="Quirino Junior"/>
    <x v="1"/>
    <d v="2024-07-28T00:00:00"/>
    <x v="0"/>
    <n v="5"/>
    <x v="1"/>
    <x v="1"/>
    <n v="0"/>
    <x v="1"/>
    <n v="0"/>
    <n v="0"/>
    <n v="5"/>
    <n v="0"/>
  </r>
  <r>
    <x v="154"/>
    <s v="Renata Machado"/>
    <x v="0"/>
    <d v="2024-07-29T00:00:00"/>
    <x v="1"/>
    <n v="15"/>
    <x v="0"/>
    <x v="0"/>
    <n v="30"/>
    <x v="0"/>
    <n v="20"/>
    <n v="20"/>
    <n v="45"/>
    <n v="50"/>
  </r>
  <r>
    <x v="155"/>
    <s v="Sônia Alves"/>
    <x v="2"/>
    <d v="2024-07-30T00:00:00"/>
    <x v="0"/>
    <n v="10"/>
    <x v="2"/>
    <x v="1"/>
    <n v="0"/>
    <x v="0"/>
    <n v="20"/>
    <n v="15"/>
    <n v="15"/>
    <n v="20"/>
  </r>
  <r>
    <x v="156"/>
    <s v="Tiago Nunes"/>
    <x v="1"/>
    <d v="2024-07-31T00:00:00"/>
    <x v="1"/>
    <n v="5"/>
    <x v="0"/>
    <x v="1"/>
    <n v="0"/>
    <x v="1"/>
    <n v="0"/>
    <n v="1"/>
    <n v="4"/>
    <n v="0"/>
  </r>
  <r>
    <x v="157"/>
    <s v="Ulysses Pereira"/>
    <x v="0"/>
    <d v="2024-08-01T00:00:00"/>
    <x v="0"/>
    <n v="15"/>
    <x v="1"/>
    <x v="0"/>
    <n v="30"/>
    <x v="0"/>
    <n v="20"/>
    <n v="3"/>
    <n v="62"/>
    <n v="50"/>
  </r>
  <r>
    <x v="158"/>
    <s v="Vanessa Lima"/>
    <x v="2"/>
    <d v="2024-08-02T00:00:00"/>
    <x v="1"/>
    <n v="10"/>
    <x v="0"/>
    <x v="1"/>
    <n v="0"/>
    <x v="0"/>
    <n v="20"/>
    <n v="10"/>
    <n v="20"/>
    <n v="20"/>
  </r>
  <r>
    <x v="159"/>
    <s v="Wagner Santos"/>
    <x v="1"/>
    <d v="2024-08-03T00:00:00"/>
    <x v="0"/>
    <n v="5"/>
    <x v="2"/>
    <x v="1"/>
    <n v="0"/>
    <x v="1"/>
    <n v="0"/>
    <n v="0"/>
    <n v="5"/>
    <n v="0"/>
  </r>
  <r>
    <x v="160"/>
    <s v="Xuxa Meneghel"/>
    <x v="0"/>
    <d v="2024-08-04T00:00:00"/>
    <x v="1"/>
    <n v="15"/>
    <x v="0"/>
    <x v="0"/>
    <n v="30"/>
    <x v="0"/>
    <n v="20"/>
    <n v="15"/>
    <n v="50"/>
    <n v="50"/>
  </r>
  <r>
    <x v="161"/>
    <s v="Yasmin Silva"/>
    <x v="2"/>
    <d v="2024-08-05T00:00:00"/>
    <x v="0"/>
    <n v="10"/>
    <x v="1"/>
    <x v="1"/>
    <n v="0"/>
    <x v="0"/>
    <n v="20"/>
    <n v="15"/>
    <n v="15"/>
    <n v="20"/>
  </r>
  <r>
    <x v="162"/>
    <s v="Zacarias de Souza"/>
    <x v="1"/>
    <d v="2024-08-06T00:00:00"/>
    <x v="1"/>
    <n v="5"/>
    <x v="0"/>
    <x v="1"/>
    <n v="0"/>
    <x v="1"/>
    <n v="0"/>
    <n v="1"/>
    <n v="4"/>
    <n v="0"/>
  </r>
  <r>
    <x v="163"/>
    <s v="André Lima"/>
    <x v="0"/>
    <d v="2024-08-07T00:00:00"/>
    <x v="0"/>
    <n v="15"/>
    <x v="2"/>
    <x v="0"/>
    <n v="30"/>
    <x v="0"/>
    <n v="20"/>
    <n v="7"/>
    <n v="58"/>
    <n v="50"/>
  </r>
  <r>
    <x v="164"/>
    <s v="Bianca Freitas"/>
    <x v="2"/>
    <d v="2024-08-08T00:00:00"/>
    <x v="1"/>
    <n v="10"/>
    <x v="0"/>
    <x v="1"/>
    <n v="0"/>
    <x v="0"/>
    <n v="20"/>
    <n v="10"/>
    <n v="20"/>
    <n v="20"/>
  </r>
  <r>
    <x v="165"/>
    <s v="Caio Mendes"/>
    <x v="1"/>
    <d v="2024-08-09T00:00:00"/>
    <x v="0"/>
    <n v="5"/>
    <x v="1"/>
    <x v="1"/>
    <n v="0"/>
    <x v="1"/>
    <n v="0"/>
    <n v="0"/>
    <n v="5"/>
    <n v="0"/>
  </r>
  <r>
    <x v="166"/>
    <s v="Daniela Moura"/>
    <x v="0"/>
    <d v="2024-08-10T00:00:00"/>
    <x v="1"/>
    <n v="15"/>
    <x v="0"/>
    <x v="0"/>
    <n v="30"/>
    <x v="0"/>
    <n v="20"/>
    <n v="20"/>
    <n v="45"/>
    <n v="50"/>
  </r>
  <r>
    <x v="167"/>
    <s v="Eduardo Costa"/>
    <x v="2"/>
    <d v="2024-08-11T00:00:00"/>
    <x v="0"/>
    <n v="10"/>
    <x v="2"/>
    <x v="1"/>
    <n v="0"/>
    <x v="0"/>
    <n v="20"/>
    <n v="15"/>
    <n v="15"/>
    <n v="20"/>
  </r>
  <r>
    <x v="168"/>
    <s v="Fernanda Gomes"/>
    <x v="1"/>
    <d v="2024-08-12T00:00:00"/>
    <x v="1"/>
    <n v="5"/>
    <x v="0"/>
    <x v="1"/>
    <n v="0"/>
    <x v="1"/>
    <n v="0"/>
    <n v="1"/>
    <n v="4"/>
    <n v="0"/>
  </r>
  <r>
    <x v="169"/>
    <s v="Guilherme Souza"/>
    <x v="0"/>
    <d v="2024-08-13T00:00:00"/>
    <x v="0"/>
    <n v="15"/>
    <x v="1"/>
    <x v="0"/>
    <n v="30"/>
    <x v="0"/>
    <n v="20"/>
    <n v="5"/>
    <n v="60"/>
    <n v="50"/>
  </r>
  <r>
    <x v="170"/>
    <s v="Helena Ribeiro"/>
    <x v="2"/>
    <d v="2024-08-14T00:00:00"/>
    <x v="1"/>
    <n v="10"/>
    <x v="0"/>
    <x v="1"/>
    <n v="0"/>
    <x v="0"/>
    <n v="20"/>
    <n v="10"/>
    <n v="20"/>
    <n v="20"/>
  </r>
  <r>
    <x v="171"/>
    <s v="Igor Santos"/>
    <x v="1"/>
    <d v="2024-08-15T00:00:00"/>
    <x v="0"/>
    <n v="5"/>
    <x v="2"/>
    <x v="1"/>
    <n v="0"/>
    <x v="1"/>
    <n v="0"/>
    <n v="0"/>
    <n v="5"/>
    <n v="0"/>
  </r>
  <r>
    <x v="172"/>
    <s v="João Carvalho"/>
    <x v="0"/>
    <d v="2024-08-16T00:00:00"/>
    <x v="1"/>
    <n v="15"/>
    <x v="0"/>
    <x v="0"/>
    <n v="30"/>
    <x v="0"/>
    <n v="20"/>
    <n v="3"/>
    <n v="62"/>
    <n v="50"/>
  </r>
  <r>
    <x v="173"/>
    <s v="Klara Fagundes"/>
    <x v="2"/>
    <d v="2024-08-17T00:00:00"/>
    <x v="0"/>
    <n v="10"/>
    <x v="1"/>
    <x v="1"/>
    <n v="0"/>
    <x v="0"/>
    <n v="20"/>
    <n v="15"/>
    <n v="15"/>
    <n v="20"/>
  </r>
  <r>
    <x v="174"/>
    <s v="Lúcia Mendonça"/>
    <x v="1"/>
    <d v="2024-08-18T00:00:00"/>
    <x v="1"/>
    <n v="5"/>
    <x v="0"/>
    <x v="1"/>
    <n v="0"/>
    <x v="1"/>
    <n v="0"/>
    <n v="1"/>
    <n v="4"/>
    <n v="0"/>
  </r>
  <r>
    <x v="175"/>
    <s v="Marcelo Novaes"/>
    <x v="1"/>
    <d v="2024-08-19T00:00:00"/>
    <x v="0"/>
    <n v="5"/>
    <x v="0"/>
    <x v="1"/>
    <n v="0"/>
    <x v="1"/>
    <n v="0"/>
    <n v="0"/>
    <n v="5"/>
    <n v="0"/>
  </r>
  <r>
    <x v="176"/>
    <s v="Nina Pacheco"/>
    <x v="0"/>
    <d v="2024-08-20T00:00:00"/>
    <x v="1"/>
    <n v="15"/>
    <x v="2"/>
    <x v="0"/>
    <n v="30"/>
    <x v="0"/>
    <n v="20"/>
    <n v="7"/>
    <n v="58"/>
    <n v="50"/>
  </r>
  <r>
    <x v="177"/>
    <s v="Olívia Rios"/>
    <x v="2"/>
    <d v="2024-08-21T00:00:00"/>
    <x v="0"/>
    <n v="10"/>
    <x v="1"/>
    <x v="1"/>
    <n v="0"/>
    <x v="0"/>
    <n v="20"/>
    <n v="10"/>
    <n v="20"/>
    <n v="20"/>
  </r>
  <r>
    <x v="178"/>
    <s v="Paulo Quintana"/>
    <x v="1"/>
    <d v="2024-08-22T00:00:00"/>
    <x v="1"/>
    <n v="5"/>
    <x v="2"/>
    <x v="1"/>
    <n v="0"/>
    <x v="1"/>
    <n v="0"/>
    <n v="1"/>
    <n v="4"/>
    <n v="0"/>
  </r>
  <r>
    <x v="179"/>
    <s v="Raquel Domingos"/>
    <x v="0"/>
    <d v="2024-08-23T00:00:00"/>
    <x v="0"/>
    <n v="15"/>
    <x v="0"/>
    <x v="0"/>
    <n v="30"/>
    <x v="0"/>
    <n v="20"/>
    <n v="15"/>
    <n v="50"/>
    <n v="50"/>
  </r>
  <r>
    <x v="180"/>
    <s v="Samuel Viana"/>
    <x v="2"/>
    <d v="2024-08-24T00:00:00"/>
    <x v="1"/>
    <n v="10"/>
    <x v="0"/>
    <x v="1"/>
    <n v="0"/>
    <x v="0"/>
    <n v="20"/>
    <n v="5"/>
    <n v="25"/>
    <n v="20"/>
  </r>
  <r>
    <x v="181"/>
    <s v="Tatiane Rocha"/>
    <x v="1"/>
    <d v="2024-08-25T00:00:00"/>
    <x v="0"/>
    <n v="5"/>
    <x v="1"/>
    <x v="1"/>
    <n v="0"/>
    <x v="1"/>
    <n v="0"/>
    <n v="0"/>
    <n v="5"/>
    <n v="0"/>
  </r>
  <r>
    <x v="182"/>
    <s v="Ulysses Farias"/>
    <x v="0"/>
    <d v="2024-08-26T00:00:00"/>
    <x v="1"/>
    <n v="15"/>
    <x v="2"/>
    <x v="0"/>
    <n v="30"/>
    <x v="0"/>
    <n v="20"/>
    <n v="20"/>
    <n v="45"/>
    <n v="50"/>
  </r>
  <r>
    <x v="183"/>
    <s v="Vanessa Moreira"/>
    <x v="2"/>
    <d v="2024-08-27T00:00:00"/>
    <x v="0"/>
    <n v="10"/>
    <x v="2"/>
    <x v="1"/>
    <n v="0"/>
    <x v="0"/>
    <n v="20"/>
    <n v="12"/>
    <n v="18"/>
    <n v="20"/>
  </r>
  <r>
    <x v="184"/>
    <s v="William Carvalho"/>
    <x v="1"/>
    <d v="2024-08-28T00:00:00"/>
    <x v="1"/>
    <n v="5"/>
    <x v="0"/>
    <x v="1"/>
    <n v="0"/>
    <x v="1"/>
    <n v="0"/>
    <n v="2"/>
    <n v="3"/>
    <n v="0"/>
  </r>
  <r>
    <x v="185"/>
    <s v="Ximena Barros"/>
    <x v="0"/>
    <d v="2024-08-29T00:00:00"/>
    <x v="0"/>
    <n v="15"/>
    <x v="1"/>
    <x v="0"/>
    <n v="30"/>
    <x v="0"/>
    <n v="20"/>
    <n v="5"/>
    <n v="60"/>
    <n v="50"/>
  </r>
  <r>
    <x v="186"/>
    <s v="Yara Machado"/>
    <x v="2"/>
    <d v="2024-08-30T00:00:00"/>
    <x v="1"/>
    <n v="10"/>
    <x v="0"/>
    <x v="1"/>
    <n v="0"/>
    <x v="0"/>
    <n v="20"/>
    <n v="10"/>
    <n v="20"/>
    <n v="20"/>
  </r>
  <r>
    <x v="187"/>
    <s v="Zacarias Costa"/>
    <x v="1"/>
    <d v="2024-08-31T00:00:00"/>
    <x v="0"/>
    <n v="5"/>
    <x v="2"/>
    <x v="1"/>
    <n v="0"/>
    <x v="1"/>
    <n v="0"/>
    <n v="0"/>
    <n v="5"/>
    <n v="0"/>
  </r>
  <r>
    <x v="188"/>
    <s v="André Lopes"/>
    <x v="0"/>
    <d v="2024-09-01T00:00:00"/>
    <x v="1"/>
    <n v="15"/>
    <x v="0"/>
    <x v="0"/>
    <n v="30"/>
    <x v="0"/>
    <n v="20"/>
    <n v="3"/>
    <n v="62"/>
    <n v="50"/>
  </r>
  <r>
    <x v="189"/>
    <s v="Beatriz Souza"/>
    <x v="2"/>
    <d v="2024-09-02T00:00:00"/>
    <x v="0"/>
    <n v="10"/>
    <x v="1"/>
    <x v="1"/>
    <n v="0"/>
    <x v="0"/>
    <n v="20"/>
    <n v="15"/>
    <n v="15"/>
    <n v="20"/>
  </r>
  <r>
    <x v="190"/>
    <s v="Caio Pereira"/>
    <x v="1"/>
    <d v="2024-09-03T00:00:00"/>
    <x v="1"/>
    <n v="5"/>
    <x v="0"/>
    <x v="1"/>
    <n v="0"/>
    <x v="1"/>
    <n v="0"/>
    <n v="1"/>
    <n v="4"/>
    <n v="0"/>
  </r>
  <r>
    <x v="191"/>
    <s v="Daniela Araújo"/>
    <x v="0"/>
    <d v="2024-09-04T00:00:00"/>
    <x v="0"/>
    <n v="15"/>
    <x v="2"/>
    <x v="0"/>
    <n v="30"/>
    <x v="0"/>
    <n v="20"/>
    <n v="7"/>
    <n v="58"/>
    <n v="50"/>
  </r>
  <r>
    <x v="192"/>
    <s v="Eduardo Santos"/>
    <x v="2"/>
    <d v="2024-09-05T00:00:00"/>
    <x v="1"/>
    <n v="10"/>
    <x v="0"/>
    <x v="1"/>
    <n v="0"/>
    <x v="0"/>
    <n v="20"/>
    <n v="10"/>
    <n v="20"/>
    <n v="20"/>
  </r>
  <r>
    <x v="193"/>
    <s v="Fernanda Lima"/>
    <x v="1"/>
    <d v="2024-09-06T00:00:00"/>
    <x v="0"/>
    <n v="5"/>
    <x v="1"/>
    <x v="1"/>
    <n v="0"/>
    <x v="1"/>
    <n v="0"/>
    <n v="0"/>
    <n v="5"/>
    <n v="0"/>
  </r>
  <r>
    <x v="194"/>
    <s v="Gabriel Teixeira"/>
    <x v="0"/>
    <d v="2024-09-07T00:00:00"/>
    <x v="1"/>
    <n v="15"/>
    <x v="0"/>
    <x v="0"/>
    <n v="30"/>
    <x v="0"/>
    <n v="20"/>
    <n v="20"/>
    <n v="45"/>
    <n v="50"/>
  </r>
  <r>
    <x v="195"/>
    <s v="Helena Ribeiro"/>
    <x v="2"/>
    <d v="2024-09-08T00:00:00"/>
    <x v="0"/>
    <n v="10"/>
    <x v="2"/>
    <x v="1"/>
    <n v="0"/>
    <x v="0"/>
    <n v="20"/>
    <n v="15"/>
    <n v="15"/>
    <n v="20"/>
  </r>
  <r>
    <x v="196"/>
    <s v="Igor Mendes"/>
    <x v="1"/>
    <d v="2024-09-09T00:00:00"/>
    <x v="1"/>
    <n v="5"/>
    <x v="0"/>
    <x v="1"/>
    <n v="0"/>
    <x v="1"/>
    <n v="0"/>
    <n v="1"/>
    <n v="4"/>
    <n v="0"/>
  </r>
  <r>
    <x v="197"/>
    <s v="Joana Silveira"/>
    <x v="0"/>
    <d v="2024-09-10T00:00:00"/>
    <x v="0"/>
    <n v="15"/>
    <x v="1"/>
    <x v="0"/>
    <n v="30"/>
    <x v="0"/>
    <n v="20"/>
    <n v="3"/>
    <n v="62"/>
    <n v="50"/>
  </r>
  <r>
    <x v="198"/>
    <s v="Lucas Martins"/>
    <x v="2"/>
    <d v="2024-09-11T00:00:00"/>
    <x v="1"/>
    <n v="10"/>
    <x v="0"/>
    <x v="1"/>
    <n v="0"/>
    <x v="0"/>
    <n v="20"/>
    <n v="10"/>
    <n v="20"/>
    <n v="20"/>
  </r>
  <r>
    <x v="199"/>
    <s v="Marcela Gouveia"/>
    <x v="1"/>
    <d v="2024-09-12T00:00:00"/>
    <x v="0"/>
    <n v="5"/>
    <x v="2"/>
    <x v="1"/>
    <n v="0"/>
    <x v="1"/>
    <n v="0"/>
    <n v="0"/>
    <n v="5"/>
    <n v="0"/>
  </r>
  <r>
    <x v="200"/>
    <s v="Nicolas Borges"/>
    <x v="0"/>
    <d v="2024-09-13T00:00:00"/>
    <x v="1"/>
    <n v="15"/>
    <x v="0"/>
    <x v="0"/>
    <n v="30"/>
    <x v="0"/>
    <n v="20"/>
    <n v="15"/>
    <n v="50"/>
    <n v="50"/>
  </r>
  <r>
    <x v="201"/>
    <s v="Olivia Freitas"/>
    <x v="2"/>
    <d v="2024-09-14T00:00:00"/>
    <x v="0"/>
    <n v="10"/>
    <x v="1"/>
    <x v="1"/>
    <n v="0"/>
    <x v="0"/>
    <n v="20"/>
    <n v="15"/>
    <n v="15"/>
    <n v="20"/>
  </r>
  <r>
    <x v="202"/>
    <s v="Paulo Nogueira"/>
    <x v="1"/>
    <d v="2024-09-15T00:00:00"/>
    <x v="1"/>
    <n v="5"/>
    <x v="0"/>
    <x v="1"/>
    <n v="0"/>
    <x v="1"/>
    <n v="0"/>
    <n v="1"/>
    <n v="4"/>
    <n v="0"/>
  </r>
  <r>
    <x v="203"/>
    <s v="Raquel Andrade"/>
    <x v="0"/>
    <d v="2024-09-16T00:00:00"/>
    <x v="0"/>
    <n v="15"/>
    <x v="2"/>
    <x v="0"/>
    <n v="30"/>
    <x v="0"/>
    <n v="20"/>
    <n v="7"/>
    <n v="58"/>
    <n v="50"/>
  </r>
  <r>
    <x v="204"/>
    <s v="Sônia Carvalho"/>
    <x v="2"/>
    <d v="2024-09-17T00:00:00"/>
    <x v="1"/>
    <n v="10"/>
    <x v="0"/>
    <x v="1"/>
    <n v="0"/>
    <x v="0"/>
    <n v="20"/>
    <n v="10"/>
    <n v="20"/>
    <n v="20"/>
  </r>
  <r>
    <x v="205"/>
    <s v="Tiago Rodrigues"/>
    <x v="1"/>
    <d v="2024-09-18T00:00:00"/>
    <x v="0"/>
    <n v="5"/>
    <x v="0"/>
    <x v="1"/>
    <n v="0"/>
    <x v="1"/>
    <n v="0"/>
    <n v="0"/>
    <n v="5"/>
    <n v="0"/>
  </r>
  <r>
    <x v="206"/>
    <s v="Ursula Monteiro"/>
    <x v="0"/>
    <d v="2024-09-19T00:00:00"/>
    <x v="1"/>
    <n v="15"/>
    <x v="2"/>
    <x v="0"/>
    <n v="30"/>
    <x v="0"/>
    <n v="20"/>
    <n v="7"/>
    <n v="58"/>
    <n v="50"/>
  </r>
  <r>
    <x v="207"/>
    <s v="Vanessa Pereira"/>
    <x v="2"/>
    <d v="2024-09-20T00:00:00"/>
    <x v="0"/>
    <n v="10"/>
    <x v="1"/>
    <x v="1"/>
    <n v="0"/>
    <x v="0"/>
    <n v="20"/>
    <n v="10"/>
    <n v="20"/>
    <n v="20"/>
  </r>
  <r>
    <x v="208"/>
    <s v="Walter Silva"/>
    <x v="1"/>
    <d v="2024-09-21T00:00:00"/>
    <x v="1"/>
    <n v="5"/>
    <x v="2"/>
    <x v="1"/>
    <n v="0"/>
    <x v="1"/>
    <n v="0"/>
    <n v="1"/>
    <n v="4"/>
    <n v="0"/>
  </r>
  <r>
    <x v="209"/>
    <s v="Xavier Almeida"/>
    <x v="0"/>
    <d v="2024-09-22T00:00:00"/>
    <x v="0"/>
    <n v="15"/>
    <x v="0"/>
    <x v="0"/>
    <n v="30"/>
    <x v="0"/>
    <n v="20"/>
    <n v="15"/>
    <n v="50"/>
    <n v="50"/>
  </r>
  <r>
    <x v="210"/>
    <s v="Yasmine Correia"/>
    <x v="2"/>
    <d v="2024-09-23T00:00:00"/>
    <x v="1"/>
    <n v="10"/>
    <x v="0"/>
    <x v="1"/>
    <n v="0"/>
    <x v="0"/>
    <n v="20"/>
    <n v="5"/>
    <n v="25"/>
    <n v="20"/>
  </r>
  <r>
    <x v="211"/>
    <s v="Zacarias Almeida"/>
    <x v="1"/>
    <d v="2024-09-24T00:00:00"/>
    <x v="0"/>
    <n v="5"/>
    <x v="1"/>
    <x v="1"/>
    <n v="0"/>
    <x v="1"/>
    <n v="0"/>
    <n v="0"/>
    <n v="5"/>
    <n v="0"/>
  </r>
  <r>
    <x v="212"/>
    <s v="Amanda Costa"/>
    <x v="0"/>
    <d v="2024-09-25T00:00:00"/>
    <x v="1"/>
    <n v="15"/>
    <x v="2"/>
    <x v="0"/>
    <n v="30"/>
    <x v="0"/>
    <n v="20"/>
    <n v="20"/>
    <n v="45"/>
    <n v="50"/>
  </r>
  <r>
    <x v="213"/>
    <s v="Bruno Ferreira"/>
    <x v="2"/>
    <d v="2024-09-26T00:00:00"/>
    <x v="0"/>
    <n v="10"/>
    <x v="2"/>
    <x v="1"/>
    <n v="0"/>
    <x v="0"/>
    <n v="20"/>
    <n v="12"/>
    <n v="18"/>
    <n v="20"/>
  </r>
  <r>
    <x v="214"/>
    <s v="Carla Dias"/>
    <x v="1"/>
    <d v="2024-09-27T00:00:00"/>
    <x v="1"/>
    <n v="5"/>
    <x v="0"/>
    <x v="1"/>
    <n v="0"/>
    <x v="1"/>
    <n v="0"/>
    <n v="2"/>
    <n v="3"/>
    <n v="0"/>
  </r>
  <r>
    <x v="215"/>
    <s v="Diogo Martins"/>
    <x v="0"/>
    <d v="2024-09-28T00:00:00"/>
    <x v="0"/>
    <n v="15"/>
    <x v="1"/>
    <x v="0"/>
    <n v="30"/>
    <x v="0"/>
    <n v="20"/>
    <n v="5"/>
    <n v="60"/>
    <n v="50"/>
  </r>
  <r>
    <x v="216"/>
    <s v="Elisa Campos"/>
    <x v="2"/>
    <d v="2024-09-29T00:00:00"/>
    <x v="1"/>
    <n v="10"/>
    <x v="0"/>
    <x v="1"/>
    <n v="0"/>
    <x v="0"/>
    <n v="20"/>
    <n v="10"/>
    <n v="20"/>
    <n v="20"/>
  </r>
  <r>
    <x v="217"/>
    <s v="Fabiana Lima"/>
    <x v="1"/>
    <d v="2024-09-30T00:00:00"/>
    <x v="0"/>
    <n v="5"/>
    <x v="2"/>
    <x v="1"/>
    <n v="0"/>
    <x v="1"/>
    <n v="0"/>
    <n v="0"/>
    <n v="5"/>
    <n v="0"/>
  </r>
  <r>
    <x v="218"/>
    <s v="Gabriel Santos"/>
    <x v="0"/>
    <d v="2024-10-01T00:00:00"/>
    <x v="1"/>
    <n v="15"/>
    <x v="0"/>
    <x v="0"/>
    <n v="30"/>
    <x v="0"/>
    <n v="20"/>
    <n v="3"/>
    <n v="62"/>
    <n v="50"/>
  </r>
  <r>
    <x v="219"/>
    <s v="Helena Ferreira"/>
    <x v="2"/>
    <d v="2024-10-02T00:00:00"/>
    <x v="0"/>
    <n v="10"/>
    <x v="1"/>
    <x v="1"/>
    <n v="0"/>
    <x v="0"/>
    <n v="20"/>
    <n v="15"/>
    <n v="15"/>
    <n v="20"/>
  </r>
  <r>
    <x v="220"/>
    <s v="Ígor Nunes"/>
    <x v="1"/>
    <d v="2024-10-03T00:00:00"/>
    <x v="1"/>
    <n v="5"/>
    <x v="0"/>
    <x v="1"/>
    <n v="0"/>
    <x v="1"/>
    <n v="0"/>
    <n v="1"/>
    <n v="4"/>
    <n v="0"/>
  </r>
  <r>
    <x v="221"/>
    <s v="Joana Silveira"/>
    <x v="0"/>
    <d v="2024-10-04T00:00:00"/>
    <x v="0"/>
    <n v="15"/>
    <x v="2"/>
    <x v="0"/>
    <n v="30"/>
    <x v="0"/>
    <n v="20"/>
    <n v="7"/>
    <n v="58"/>
    <n v="50"/>
  </r>
  <r>
    <x v="222"/>
    <s v="Kléber Oliveira"/>
    <x v="2"/>
    <d v="2024-10-05T00:00:00"/>
    <x v="1"/>
    <n v="10"/>
    <x v="0"/>
    <x v="1"/>
    <n v="0"/>
    <x v="0"/>
    <n v="20"/>
    <n v="10"/>
    <n v="20"/>
    <n v="20"/>
  </r>
  <r>
    <x v="223"/>
    <s v="Luciana Morais"/>
    <x v="1"/>
    <d v="2024-10-06T00:00:00"/>
    <x v="0"/>
    <n v="5"/>
    <x v="1"/>
    <x v="1"/>
    <n v="0"/>
    <x v="1"/>
    <n v="0"/>
    <n v="0"/>
    <n v="5"/>
    <n v="0"/>
  </r>
  <r>
    <x v="224"/>
    <s v="Marcos Vinícius"/>
    <x v="0"/>
    <d v="2024-10-07T00:00:00"/>
    <x v="1"/>
    <n v="15"/>
    <x v="0"/>
    <x v="0"/>
    <n v="30"/>
    <x v="0"/>
    <n v="20"/>
    <n v="20"/>
    <n v="45"/>
    <n v="50"/>
  </r>
  <r>
    <x v="225"/>
    <s v="Natália Barros"/>
    <x v="2"/>
    <d v="2024-10-08T00:00:00"/>
    <x v="0"/>
    <n v="10"/>
    <x v="2"/>
    <x v="1"/>
    <n v="0"/>
    <x v="0"/>
    <n v="20"/>
    <n v="15"/>
    <n v="15"/>
    <n v="20"/>
  </r>
  <r>
    <x v="226"/>
    <s v="Oscar Sampaio"/>
    <x v="1"/>
    <d v="2024-10-09T00:00:00"/>
    <x v="1"/>
    <n v="5"/>
    <x v="0"/>
    <x v="1"/>
    <n v="0"/>
    <x v="1"/>
    <n v="0"/>
    <n v="1"/>
    <n v="4"/>
    <n v="0"/>
  </r>
  <r>
    <x v="227"/>
    <s v="Patrícia Leite"/>
    <x v="0"/>
    <d v="2024-10-10T00:00:00"/>
    <x v="0"/>
    <n v="15"/>
    <x v="1"/>
    <x v="0"/>
    <n v="30"/>
    <x v="0"/>
    <n v="20"/>
    <n v="3"/>
    <n v="62"/>
    <n v="50"/>
  </r>
  <r>
    <x v="228"/>
    <s v="Quênia Rocha"/>
    <x v="2"/>
    <d v="2024-10-11T00:00:00"/>
    <x v="1"/>
    <n v="10"/>
    <x v="0"/>
    <x v="1"/>
    <n v="0"/>
    <x v="0"/>
    <n v="20"/>
    <n v="10"/>
    <n v="20"/>
    <n v="20"/>
  </r>
  <r>
    <x v="229"/>
    <s v="Rafael Torres"/>
    <x v="1"/>
    <d v="2024-10-12T00:00:00"/>
    <x v="0"/>
    <n v="5"/>
    <x v="2"/>
    <x v="1"/>
    <n v="0"/>
    <x v="1"/>
    <n v="0"/>
    <n v="0"/>
    <n v="5"/>
    <n v="0"/>
  </r>
  <r>
    <x v="230"/>
    <s v="Sandra Gouveia"/>
    <x v="0"/>
    <d v="2024-10-13T00:00:00"/>
    <x v="1"/>
    <n v="15"/>
    <x v="0"/>
    <x v="0"/>
    <n v="30"/>
    <x v="0"/>
    <n v="20"/>
    <n v="15"/>
    <n v="50"/>
    <n v="50"/>
  </r>
  <r>
    <x v="231"/>
    <s v="Tiago Lacerda"/>
    <x v="2"/>
    <d v="2024-10-14T00:00:00"/>
    <x v="0"/>
    <n v="10"/>
    <x v="1"/>
    <x v="1"/>
    <n v="0"/>
    <x v="0"/>
    <n v="20"/>
    <n v="15"/>
    <n v="15"/>
    <n v="20"/>
  </r>
  <r>
    <x v="232"/>
    <s v="Ursula Fonseca"/>
    <x v="1"/>
    <d v="2024-10-15T00:00:00"/>
    <x v="1"/>
    <n v="5"/>
    <x v="0"/>
    <x v="1"/>
    <n v="0"/>
    <x v="1"/>
    <n v="0"/>
    <n v="1"/>
    <n v="4"/>
    <n v="0"/>
  </r>
  <r>
    <x v="233"/>
    <s v="Vanessa Andrade"/>
    <x v="0"/>
    <d v="2024-10-16T00:00:00"/>
    <x v="0"/>
    <n v="15"/>
    <x v="2"/>
    <x v="0"/>
    <n v="30"/>
    <x v="0"/>
    <n v="20"/>
    <n v="7"/>
    <n v="58"/>
    <n v="50"/>
  </r>
  <r>
    <x v="234"/>
    <s v="William Castro"/>
    <x v="2"/>
    <d v="2024-10-17T00:00:00"/>
    <x v="1"/>
    <n v="10"/>
    <x v="0"/>
    <x v="1"/>
    <n v="0"/>
    <x v="0"/>
    <n v="20"/>
    <n v="10"/>
    <n v="20"/>
    <n v="20"/>
  </r>
  <r>
    <x v="235"/>
    <s v="Xavier Monteiro"/>
    <x v="1"/>
    <d v="2024-10-18T00:00:00"/>
    <x v="0"/>
    <n v="5"/>
    <x v="1"/>
    <x v="1"/>
    <n v="0"/>
    <x v="1"/>
    <n v="0"/>
    <n v="0"/>
    <n v="5"/>
    <n v="0"/>
  </r>
  <r>
    <x v="236"/>
    <s v="Yasmin Figueira"/>
    <x v="0"/>
    <d v="2024-10-19T00:00:00"/>
    <x v="1"/>
    <n v="15"/>
    <x v="0"/>
    <x v="0"/>
    <n v="30"/>
    <x v="0"/>
    <n v="20"/>
    <n v="15"/>
    <n v="50"/>
    <n v="50"/>
  </r>
  <r>
    <x v="237"/>
    <s v="Zacarias Mendonça"/>
    <x v="2"/>
    <d v="2024-10-20T00:00:00"/>
    <x v="0"/>
    <n v="10"/>
    <x v="2"/>
    <x v="1"/>
    <n v="0"/>
    <x v="0"/>
    <n v="20"/>
    <n v="12"/>
    <n v="18"/>
    <n v="20"/>
  </r>
  <r>
    <x v="238"/>
    <s v="Amanda Menezes"/>
    <x v="1"/>
    <d v="2024-10-21T00:00:00"/>
    <x v="1"/>
    <n v="5"/>
    <x v="0"/>
    <x v="1"/>
    <n v="0"/>
    <x v="1"/>
    <n v="0"/>
    <n v="2"/>
    <n v="3"/>
    <n v="0"/>
  </r>
  <r>
    <x v="239"/>
    <s v="Bruno Santos"/>
    <x v="0"/>
    <d v="2024-10-22T00:00:00"/>
    <x v="0"/>
    <n v="15"/>
    <x v="1"/>
    <x v="0"/>
    <n v="30"/>
    <x v="0"/>
    <n v="20"/>
    <n v="5"/>
    <n v="60"/>
    <n v="50"/>
  </r>
  <r>
    <x v="240"/>
    <s v="Carla Ferreira"/>
    <x v="2"/>
    <d v="2024-10-23T00:00:00"/>
    <x v="1"/>
    <n v="10"/>
    <x v="0"/>
    <x v="1"/>
    <n v="0"/>
    <x v="0"/>
    <n v="20"/>
    <n v="10"/>
    <n v="20"/>
    <n v="20"/>
  </r>
  <r>
    <x v="241"/>
    <s v="Diogo Alves"/>
    <x v="1"/>
    <d v="2024-10-24T00:00:00"/>
    <x v="0"/>
    <n v="5"/>
    <x v="2"/>
    <x v="1"/>
    <n v="0"/>
    <x v="1"/>
    <n v="0"/>
    <n v="0"/>
    <n v="5"/>
    <n v="0"/>
  </r>
  <r>
    <x v="242"/>
    <s v="Elisa Neves"/>
    <x v="0"/>
    <d v="2024-10-25T00:00:00"/>
    <x v="1"/>
    <n v="15"/>
    <x v="0"/>
    <x v="0"/>
    <n v="30"/>
    <x v="0"/>
    <n v="20"/>
    <n v="3"/>
    <n v="62"/>
    <n v="50"/>
  </r>
  <r>
    <x v="243"/>
    <s v="Fabiano Pires"/>
    <x v="2"/>
    <d v="2024-10-26T00:00:00"/>
    <x v="0"/>
    <n v="10"/>
    <x v="1"/>
    <x v="1"/>
    <n v="0"/>
    <x v="0"/>
    <n v="20"/>
    <n v="15"/>
    <n v="15"/>
    <n v="20"/>
  </r>
  <r>
    <x v="244"/>
    <s v="Giovana Ribeiro"/>
    <x v="1"/>
    <d v="2024-10-27T00:00:00"/>
    <x v="1"/>
    <n v="5"/>
    <x v="0"/>
    <x v="1"/>
    <n v="0"/>
    <x v="1"/>
    <n v="0"/>
    <n v="1"/>
    <n v="4"/>
    <n v="0"/>
  </r>
  <r>
    <x v="245"/>
    <s v="Hélio Costa"/>
    <x v="0"/>
    <d v="2024-10-28T00:00:00"/>
    <x v="0"/>
    <n v="15"/>
    <x v="2"/>
    <x v="0"/>
    <n v="30"/>
    <x v="0"/>
    <n v="20"/>
    <n v="7"/>
    <n v="58"/>
    <n v="50"/>
  </r>
  <r>
    <x v="246"/>
    <s v="Íris Loureiro"/>
    <x v="2"/>
    <d v="2024-10-29T00:00:00"/>
    <x v="1"/>
    <n v="10"/>
    <x v="0"/>
    <x v="1"/>
    <n v="0"/>
    <x v="0"/>
    <n v="20"/>
    <n v="10"/>
    <n v="20"/>
    <n v="20"/>
  </r>
  <r>
    <x v="247"/>
    <s v="João Pereira"/>
    <x v="1"/>
    <d v="2024-10-30T00:00:00"/>
    <x v="0"/>
    <n v="5"/>
    <x v="1"/>
    <x v="1"/>
    <n v="0"/>
    <x v="1"/>
    <n v="0"/>
    <n v="0"/>
    <n v="5"/>
    <n v="0"/>
  </r>
  <r>
    <x v="248"/>
    <s v="Klara Silva"/>
    <x v="0"/>
    <d v="2024-10-31T00:00:00"/>
    <x v="1"/>
    <n v="15"/>
    <x v="0"/>
    <x v="0"/>
    <n v="30"/>
    <x v="0"/>
    <n v="20"/>
    <n v="20"/>
    <n v="45"/>
    <n v="50"/>
  </r>
  <r>
    <x v="249"/>
    <s v="Luciana Barros"/>
    <x v="2"/>
    <d v="2024-11-01T00:00:00"/>
    <x v="0"/>
    <n v="10"/>
    <x v="2"/>
    <x v="1"/>
    <n v="0"/>
    <x v="0"/>
    <n v="20"/>
    <n v="15"/>
    <n v="15"/>
    <n v="20"/>
  </r>
  <r>
    <x v="250"/>
    <s v="Marcos Gomes"/>
    <x v="1"/>
    <d v="2024-11-02T00:00:00"/>
    <x v="1"/>
    <n v="5"/>
    <x v="0"/>
    <x v="1"/>
    <n v="0"/>
    <x v="1"/>
    <n v="0"/>
    <n v="1"/>
    <n v="4"/>
    <n v="0"/>
  </r>
  <r>
    <x v="251"/>
    <s v="Natália Soares"/>
    <x v="0"/>
    <d v="2024-11-03T00:00:00"/>
    <x v="0"/>
    <n v="15"/>
    <x v="1"/>
    <x v="0"/>
    <n v="30"/>
    <x v="0"/>
    <n v="20"/>
    <n v="3"/>
    <n v="62"/>
    <n v="50"/>
  </r>
  <r>
    <x v="252"/>
    <s v="Oscar Machado"/>
    <x v="2"/>
    <d v="2024-11-04T00:00:00"/>
    <x v="1"/>
    <n v="10"/>
    <x v="0"/>
    <x v="1"/>
    <n v="0"/>
    <x v="0"/>
    <n v="20"/>
    <n v="10"/>
    <n v="20"/>
    <n v="20"/>
  </r>
  <r>
    <x v="253"/>
    <s v="Patrícia Lima"/>
    <x v="1"/>
    <d v="2024-11-05T00:00:00"/>
    <x v="0"/>
    <n v="5"/>
    <x v="2"/>
    <x v="1"/>
    <n v="0"/>
    <x v="1"/>
    <n v="0"/>
    <n v="0"/>
    <n v="5"/>
    <n v="0"/>
  </r>
  <r>
    <x v="254"/>
    <s v="Quirino Neto"/>
    <x v="0"/>
    <d v="2024-11-06T00:00:00"/>
    <x v="1"/>
    <n v="15"/>
    <x v="0"/>
    <x v="0"/>
    <n v="30"/>
    <x v="0"/>
    <n v="20"/>
    <n v="15"/>
    <n v="50"/>
    <n v="50"/>
  </r>
  <r>
    <x v="255"/>
    <s v="Rafaela Souza"/>
    <x v="1"/>
    <d v="2024-11-07T00:00:00"/>
    <x v="0"/>
    <n v="5"/>
    <x v="0"/>
    <x v="1"/>
    <n v="0"/>
    <x v="1"/>
    <n v="0"/>
    <n v="0"/>
    <n v="5"/>
    <n v="0"/>
  </r>
  <r>
    <x v="256"/>
    <s v="Sandro Almeida"/>
    <x v="0"/>
    <d v="2024-11-08T00:00:00"/>
    <x v="1"/>
    <n v="15"/>
    <x v="2"/>
    <x v="0"/>
    <n v="30"/>
    <x v="0"/>
    <n v="20"/>
    <n v="7"/>
    <n v="58"/>
    <n v="50"/>
  </r>
  <r>
    <x v="257"/>
    <s v="Tânia Ribeiro"/>
    <x v="2"/>
    <d v="2024-11-09T00:00:00"/>
    <x v="0"/>
    <n v="10"/>
    <x v="1"/>
    <x v="1"/>
    <n v="0"/>
    <x v="0"/>
    <n v="20"/>
    <n v="10"/>
    <n v="20"/>
    <n v="20"/>
  </r>
  <r>
    <x v="258"/>
    <s v="Ugo Dias"/>
    <x v="1"/>
    <d v="2024-11-10T00:00:00"/>
    <x v="1"/>
    <n v="5"/>
    <x v="2"/>
    <x v="1"/>
    <n v="0"/>
    <x v="1"/>
    <n v="0"/>
    <n v="1"/>
    <n v="4"/>
    <n v="0"/>
  </r>
  <r>
    <x v="259"/>
    <s v="Valéria Lima"/>
    <x v="0"/>
    <d v="2024-11-11T00:00:00"/>
    <x v="0"/>
    <n v="15"/>
    <x v="0"/>
    <x v="0"/>
    <n v="30"/>
    <x v="0"/>
    <n v="20"/>
    <n v="15"/>
    <n v="50"/>
    <n v="50"/>
  </r>
  <r>
    <x v="260"/>
    <s v="William Fernandes"/>
    <x v="2"/>
    <d v="2024-11-12T00:00:00"/>
    <x v="1"/>
    <n v="10"/>
    <x v="0"/>
    <x v="1"/>
    <n v="0"/>
    <x v="0"/>
    <n v="20"/>
    <n v="5"/>
    <n v="25"/>
    <n v="20"/>
  </r>
  <r>
    <x v="261"/>
    <s v="Xuxa Mendes"/>
    <x v="1"/>
    <d v="2024-11-13T00:00:00"/>
    <x v="0"/>
    <n v="5"/>
    <x v="1"/>
    <x v="1"/>
    <n v="0"/>
    <x v="1"/>
    <n v="0"/>
    <n v="0"/>
    <n v="5"/>
    <n v="0"/>
  </r>
  <r>
    <x v="262"/>
    <s v="Ygor Farias"/>
    <x v="0"/>
    <d v="2024-11-14T00:00:00"/>
    <x v="1"/>
    <n v="15"/>
    <x v="2"/>
    <x v="0"/>
    <n v="30"/>
    <x v="0"/>
    <n v="20"/>
    <n v="20"/>
    <n v="45"/>
    <n v="50"/>
  </r>
  <r>
    <x v="263"/>
    <s v="Zilda Barros"/>
    <x v="2"/>
    <d v="2024-11-15T00:00:00"/>
    <x v="0"/>
    <n v="10"/>
    <x v="2"/>
    <x v="1"/>
    <n v="0"/>
    <x v="0"/>
    <n v="20"/>
    <n v="12"/>
    <n v="18"/>
    <n v="20"/>
  </r>
  <r>
    <x v="264"/>
    <s v="Amanda Santos"/>
    <x v="1"/>
    <d v="2024-11-16T00:00:00"/>
    <x v="1"/>
    <n v="5"/>
    <x v="0"/>
    <x v="1"/>
    <n v="0"/>
    <x v="1"/>
    <n v="0"/>
    <n v="2"/>
    <n v="3"/>
    <n v="0"/>
  </r>
  <r>
    <x v="265"/>
    <s v="Bruno Costa"/>
    <x v="0"/>
    <d v="2024-11-17T00:00:00"/>
    <x v="0"/>
    <n v="15"/>
    <x v="1"/>
    <x v="0"/>
    <n v="30"/>
    <x v="0"/>
    <n v="20"/>
    <n v="5"/>
    <n v="60"/>
    <n v="50"/>
  </r>
  <r>
    <x v="266"/>
    <s v="Carla Rodrigues"/>
    <x v="2"/>
    <d v="2024-11-18T00:00:00"/>
    <x v="1"/>
    <n v="10"/>
    <x v="0"/>
    <x v="1"/>
    <n v="0"/>
    <x v="0"/>
    <n v="20"/>
    <n v="10"/>
    <n v="20"/>
    <n v="20"/>
  </r>
  <r>
    <x v="267"/>
    <s v="Diogo Pereira"/>
    <x v="1"/>
    <d v="2024-11-19T00:00:00"/>
    <x v="0"/>
    <n v="5"/>
    <x v="2"/>
    <x v="1"/>
    <n v="0"/>
    <x v="1"/>
    <n v="0"/>
    <n v="0"/>
    <n v="5"/>
    <n v="0"/>
  </r>
  <r>
    <x v="268"/>
    <s v="Elisa Correia"/>
    <x v="0"/>
    <d v="2024-11-20T00:00:00"/>
    <x v="1"/>
    <n v="15"/>
    <x v="0"/>
    <x v="0"/>
    <n v="30"/>
    <x v="0"/>
    <n v="20"/>
    <n v="3"/>
    <n v="62"/>
    <n v="50"/>
  </r>
  <r>
    <x v="269"/>
    <s v="Fábio Lourenço"/>
    <x v="2"/>
    <d v="2024-11-21T00:00:00"/>
    <x v="0"/>
    <n v="10"/>
    <x v="1"/>
    <x v="1"/>
    <n v="0"/>
    <x v="0"/>
    <n v="20"/>
    <n v="15"/>
    <n v="15"/>
    <n v="20"/>
  </r>
  <r>
    <x v="270"/>
    <s v="Gabriela Neves"/>
    <x v="1"/>
    <d v="2024-11-22T00:00:00"/>
    <x v="1"/>
    <n v="5"/>
    <x v="0"/>
    <x v="1"/>
    <n v="0"/>
    <x v="1"/>
    <n v="0"/>
    <n v="1"/>
    <n v="4"/>
    <n v="0"/>
  </r>
  <r>
    <x v="271"/>
    <s v="Henrique Gonçalves"/>
    <x v="0"/>
    <d v="2024-11-23T00:00:00"/>
    <x v="0"/>
    <n v="15"/>
    <x v="2"/>
    <x v="0"/>
    <n v="30"/>
    <x v="0"/>
    <n v="20"/>
    <n v="7"/>
    <n v="58"/>
    <n v="50"/>
  </r>
  <r>
    <x v="272"/>
    <s v="Íris Santos"/>
    <x v="2"/>
    <d v="2024-11-24T00:00:00"/>
    <x v="1"/>
    <n v="10"/>
    <x v="0"/>
    <x v="1"/>
    <n v="0"/>
    <x v="0"/>
    <n v="20"/>
    <n v="10"/>
    <n v="20"/>
    <n v="20"/>
  </r>
  <r>
    <x v="273"/>
    <s v="João Marcelo Alves"/>
    <x v="1"/>
    <d v="2024-11-25T00:00:00"/>
    <x v="0"/>
    <n v="5"/>
    <x v="1"/>
    <x v="1"/>
    <n v="0"/>
    <x v="1"/>
    <n v="0"/>
    <n v="0"/>
    <n v="5"/>
    <n v="0"/>
  </r>
  <r>
    <x v="274"/>
    <s v="Klara Fonseca"/>
    <x v="0"/>
    <d v="2024-11-26T00:00:00"/>
    <x v="1"/>
    <n v="15"/>
    <x v="0"/>
    <x v="0"/>
    <n v="30"/>
    <x v="0"/>
    <n v="20"/>
    <n v="20"/>
    <n v="45"/>
    <n v="50"/>
  </r>
  <r>
    <x v="275"/>
    <s v="Lucas Mendonça"/>
    <x v="2"/>
    <d v="2024-11-27T00:00:00"/>
    <x v="0"/>
    <n v="10"/>
    <x v="2"/>
    <x v="1"/>
    <n v="0"/>
    <x v="0"/>
    <n v="20"/>
    <n v="15"/>
    <n v="15"/>
    <n v="20"/>
  </r>
  <r>
    <x v="276"/>
    <s v="Marcela Torres"/>
    <x v="1"/>
    <d v="2024-11-28T00:00:00"/>
    <x v="1"/>
    <n v="5"/>
    <x v="0"/>
    <x v="1"/>
    <n v="0"/>
    <x v="1"/>
    <n v="0"/>
    <n v="1"/>
    <n v="4"/>
    <n v="0"/>
  </r>
  <r>
    <x v="277"/>
    <s v="Natália Castro"/>
    <x v="0"/>
    <d v="2024-11-29T00:00:00"/>
    <x v="0"/>
    <n v="15"/>
    <x v="1"/>
    <x v="0"/>
    <n v="30"/>
    <x v="0"/>
    <n v="20"/>
    <n v="3"/>
    <n v="62"/>
    <n v="50"/>
  </r>
  <r>
    <x v="278"/>
    <s v="Oscar Martins"/>
    <x v="2"/>
    <d v="2024-11-30T00:00:00"/>
    <x v="1"/>
    <n v="10"/>
    <x v="0"/>
    <x v="1"/>
    <n v="0"/>
    <x v="0"/>
    <n v="20"/>
    <n v="10"/>
    <n v="20"/>
    <n v="20"/>
  </r>
  <r>
    <x v="279"/>
    <s v="Patrícia Oliveira"/>
    <x v="1"/>
    <d v="2024-12-01T00:00:00"/>
    <x v="0"/>
    <n v="5"/>
    <x v="2"/>
    <x v="1"/>
    <n v="0"/>
    <x v="1"/>
    <n v="0"/>
    <n v="0"/>
    <n v="5"/>
    <n v="0"/>
  </r>
  <r>
    <x v="280"/>
    <s v="Quentin Nogueira"/>
    <x v="0"/>
    <d v="2024-12-02T00:00:00"/>
    <x v="1"/>
    <n v="15"/>
    <x v="0"/>
    <x v="0"/>
    <n v="30"/>
    <x v="0"/>
    <n v="20"/>
    <n v="15"/>
    <n v="50"/>
    <n v="50"/>
  </r>
  <r>
    <x v="281"/>
    <s v="Raquel Silva"/>
    <x v="2"/>
    <d v="2024-12-03T00:00:00"/>
    <x v="0"/>
    <n v="10"/>
    <x v="1"/>
    <x v="1"/>
    <n v="0"/>
    <x v="0"/>
    <n v="20"/>
    <n v="15"/>
    <n v="15"/>
    <n v="20"/>
  </r>
  <r>
    <x v="282"/>
    <s v="Sandro Gomes"/>
    <x v="1"/>
    <d v="2024-12-04T00:00:00"/>
    <x v="1"/>
    <n v="5"/>
    <x v="0"/>
    <x v="1"/>
    <n v="0"/>
    <x v="1"/>
    <n v="0"/>
    <n v="1"/>
    <n v="4"/>
    <n v="0"/>
  </r>
  <r>
    <x v="283"/>
    <s v="Tânia Machado"/>
    <x v="0"/>
    <d v="2024-12-05T00:00:00"/>
    <x v="0"/>
    <n v="15"/>
    <x v="2"/>
    <x v="0"/>
    <n v="30"/>
    <x v="0"/>
    <n v="20"/>
    <n v="7"/>
    <n v="58"/>
    <n v="50"/>
  </r>
  <r>
    <x v="284"/>
    <s v="Ursula Silva"/>
    <x v="2"/>
    <d v="2024-12-06T00:00:00"/>
    <x v="1"/>
    <n v="10"/>
    <x v="0"/>
    <x v="1"/>
    <n v="0"/>
    <x v="0"/>
    <n v="20"/>
    <n v="10"/>
    <n v="20"/>
    <n v="20"/>
  </r>
  <r>
    <x v="285"/>
    <s v="Vanessa Moraes"/>
    <x v="1"/>
    <d v="2024-12-07T00:00:00"/>
    <x v="0"/>
    <n v="5"/>
    <x v="1"/>
    <x v="1"/>
    <n v="0"/>
    <x v="1"/>
    <n v="0"/>
    <n v="0"/>
    <n v="5"/>
    <n v="0"/>
  </r>
  <r>
    <x v="286"/>
    <s v="William Carvalho"/>
    <x v="0"/>
    <d v="2024-12-08T00:00:00"/>
    <x v="1"/>
    <n v="15"/>
    <x v="0"/>
    <x v="0"/>
    <n v="30"/>
    <x v="0"/>
    <n v="20"/>
    <n v="20"/>
    <n v="45"/>
    <n v="50"/>
  </r>
  <r>
    <x v="287"/>
    <s v="Xavier Reis"/>
    <x v="2"/>
    <d v="2024-12-09T00:00:00"/>
    <x v="0"/>
    <n v="10"/>
    <x v="2"/>
    <x v="1"/>
    <n v="0"/>
    <x v="0"/>
    <n v="20"/>
    <n v="12"/>
    <n v="18"/>
    <n v="20"/>
  </r>
  <r>
    <x v="288"/>
    <s v="Yasmin Rocha"/>
    <x v="1"/>
    <d v="2024-12-10T00:00:00"/>
    <x v="1"/>
    <n v="5"/>
    <x v="0"/>
    <x v="1"/>
    <n v="0"/>
    <x v="1"/>
    <n v="0"/>
    <n v="2"/>
    <n v="3"/>
    <n v="0"/>
  </r>
  <r>
    <x v="289"/>
    <s v="Zacarias Duarte"/>
    <x v="0"/>
    <d v="2024-12-11T00:00:00"/>
    <x v="0"/>
    <n v="15"/>
    <x v="1"/>
    <x v="0"/>
    <n v="30"/>
    <x v="0"/>
    <n v="20"/>
    <n v="5"/>
    <n v="60"/>
    <n v="50"/>
  </r>
  <r>
    <x v="290"/>
    <s v="Amanda Freitas"/>
    <x v="2"/>
    <d v="2024-12-12T00:00:00"/>
    <x v="1"/>
    <n v="10"/>
    <x v="0"/>
    <x v="1"/>
    <n v="0"/>
    <x v="0"/>
    <n v="20"/>
    <n v="10"/>
    <n v="20"/>
    <n v="20"/>
  </r>
  <r>
    <x v="291"/>
    <s v="Bruno Almeida"/>
    <x v="1"/>
    <d v="2024-12-13T00:00:00"/>
    <x v="0"/>
    <n v="5"/>
    <x v="2"/>
    <x v="1"/>
    <n v="0"/>
    <x v="1"/>
    <n v="0"/>
    <n v="0"/>
    <n v="5"/>
    <n v="0"/>
  </r>
  <r>
    <x v="292"/>
    <s v="Carla Siqueira"/>
    <x v="0"/>
    <d v="2024-12-14T00:00:00"/>
    <x v="1"/>
    <n v="15"/>
    <x v="0"/>
    <x v="0"/>
    <n v="30"/>
    <x v="0"/>
    <n v="20"/>
    <n v="3"/>
    <n v="62"/>
    <n v="50"/>
  </r>
  <r>
    <x v="293"/>
    <s v="Diogo Ramos"/>
    <x v="2"/>
    <d v="2024-12-15T00:00:00"/>
    <x v="0"/>
    <n v="10"/>
    <x v="1"/>
    <x v="1"/>
    <n v="0"/>
    <x v="0"/>
    <n v="20"/>
    <n v="15"/>
    <n v="15"/>
    <n v="20"/>
  </r>
  <r>
    <x v="294"/>
    <s v="Elisa Magalhães"/>
    <x v="1"/>
    <d v="2024-12-16T00:00:00"/>
    <x v="1"/>
    <n v="5"/>
    <x v="0"/>
    <x v="1"/>
    <n v="0"/>
    <x v="1"/>
    <n v="0"/>
    <n v="1"/>
    <n v="4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24A9D5-04AD-44A0-B2E4-76B368F71AEE}" name="Tabela dinâmica1" cacheId="1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4">
  <location ref="B65:C73" firstHeaderRow="1" firstDataRow="1" firstDataCol="1"/>
  <pivotFields count="14">
    <pivotField dataField="1"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 sumSubtotal="1"/>
    <pivotField showAll="0"/>
    <pivotField numFmtId="44" showAll="0"/>
    <pivotField numFmtId="44" showAll="0"/>
    <pivotField numFmtId="44" showAll="0"/>
    <pivotField numFmtId="44" showAll="0"/>
  </pivotFields>
  <rowFields count="2">
    <field x="4"/>
    <field x="-2"/>
  </rowFields>
  <rowItems count="8">
    <i>
      <x/>
    </i>
    <i r="1">
      <x/>
    </i>
    <i r="1" i="1">
      <x v="1"/>
    </i>
    <i>
      <x v="1"/>
    </i>
    <i r="1">
      <x/>
    </i>
    <i r="1" i="1">
      <x v="1"/>
    </i>
    <i t="grand">
      <x/>
    </i>
    <i t="grand" i="1">
      <x/>
    </i>
  </rowItems>
  <colItems count="1">
    <i/>
  </colItems>
  <dataFields count="2">
    <dataField name="Contagem de Subscriber ID" fld="0" subtotal="count" baseField="0" baseItem="0"/>
    <dataField name="Contagem de Subscriber ID2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7CE2B3-1D15-4072-A221-F3E42EC29EB9}" name="tbl_eaattach_rate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43:B44" firstHeaderRow="1" firstDataRow="1" firstDataCol="0" rowPageCount="1" colPageCount="1"/>
  <pivotFields count="14">
    <pivotField dataField="1" showAll="0"/>
    <pivotField showAll="0"/>
    <pivotField showAll="0"/>
    <pivotField numFmtId="14" showAll="0"/>
    <pivotField showAll="0"/>
    <pivotField numFmtId="44" showAll="0"/>
    <pivotField showAll="0">
      <items count="4">
        <item x="1"/>
        <item x="0"/>
        <item x="2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numFmtId="44" showAll="0"/>
    <pivotField numFmtId="44" showAll="0"/>
    <pivotField numFmtId="44" showAll="0"/>
    <pivotField numFmtId="44" showAll="0"/>
  </pivotFields>
  <rowItems count="1">
    <i/>
  </rowItems>
  <colItems count="1">
    <i/>
  </colItems>
  <pageFields count="1">
    <pageField fld="7" item="1" hier="-1"/>
  </pageFields>
  <dataFields count="1">
    <dataField name="Contagem de Subscriber ID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78C8BA-9266-4608-AD12-555DCD0AE5C1}" name="tbl_minecraftattach_rate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50:B51" firstHeaderRow="1" firstDataRow="1" firstDataCol="0" rowPageCount="1" colPageCount="1"/>
  <pivotFields count="14">
    <pivotField dataField="1" showAll="0"/>
    <pivotField showAll="0"/>
    <pivotField showAll="0"/>
    <pivotField numFmtId="14" showAll="0"/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axis="axisPage" showAll="0">
      <items count="3">
        <item x="1"/>
        <item x="0"/>
        <item t="default"/>
      </items>
    </pivotField>
    <pivotField numFmtId="44" showAll="0"/>
    <pivotField numFmtId="44" showAll="0"/>
    <pivotField numFmtId="44" showAll="0"/>
    <pivotField numFmtId="44" showAll="0"/>
  </pivotFields>
  <rowItems count="1">
    <i/>
  </rowItems>
  <colItems count="1">
    <i/>
  </colItems>
  <pageFields count="1">
    <pageField fld="9" item="1" hier="-1"/>
  </pageFields>
  <dataFields count="1">
    <dataField name="Contagem de Subscriber ID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C962F3-9446-4393-8853-2F097DEBFEEF}" name="tbl_receita_total_pass" cacheId="1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55:B56" firstHeaderRow="1" firstDataRow="1" firstDataCol="0"/>
  <pivotFields count="14">
    <pivotField showAll="0"/>
    <pivotField showAll="0"/>
    <pivotField showAll="0"/>
    <pivotField numFmtId="14" showAll="0"/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 sumSubtotal="1"/>
    <pivotField showAll="0"/>
    <pivotField numFmtId="44" showAll="0"/>
    <pivotField numFmtId="44" showAll="0"/>
    <pivotField numFmtId="44" showAll="0"/>
    <pivotField dataField="1" numFmtId="44" showAll="0"/>
  </pivotFields>
  <rowItems count="1">
    <i/>
  </rowItems>
  <colItems count="1">
    <i/>
  </colItems>
  <dataFields count="1">
    <dataField name="Soma de Receita Total Pass" fld="13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114B17-7C15-4CE4-8D27-3B1EA63BAC71}" name="tbl_easeasonpass_total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1:C25" firstHeaderRow="1" firstDataRow="1" firstDataCol="1" rowPageCount="1" colPageCount="1"/>
  <pivotFields count="14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8C15C5-44F3-46D5-9FEF-F4C1532CC6AA}" name="tbl_minecraftseasonpass_total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32:C36" firstHeaderRow="1" firstDataRow="1" firstDataCol="1" rowPageCount="1" colPageCount="1"/>
  <pivotFields count="14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CCE7AA-D6F1-42F1-ABFD-8868360F5D90}" name="tbl_anual_total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11:C14" firstHeaderRow="1" firstDataRow="1" firstDataCol="1" rowPageCount="1" colPageCount="1"/>
  <pivotFields count="14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EF3E21-A94A-46C1-B528-2952AFB99A46}" name="tbl_assinantes_total" cacheId="1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60:B61" firstHeaderRow="1" firstDataRow="1" firstDataCol="0"/>
  <pivotFields count="14">
    <pivotField dataField="1" showAll="0"/>
    <pivotField showAll="0"/>
    <pivotField showAll="0"/>
    <pivotField numFmtId="14" showAll="0"/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 sumSubtotal="1"/>
    <pivotField showAll="0"/>
    <pivotField numFmtId="44" showAll="0"/>
    <pivotField numFmtId="44" showAll="0"/>
    <pivotField numFmtId="44" showAll="0"/>
    <pivotField numFmtId="44" showAll="0"/>
  </pivotFields>
  <rowItems count="1">
    <i/>
  </rowItems>
  <colItems count="1">
    <i/>
  </colItems>
  <dataFields count="1">
    <dataField name="Contagem de Subscrib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86751FF3-B208-4C1D-94CC-A4E9C07B8C19}" sourceName="Subscription Type">
  <pivotTables>
    <pivotTable tabId="3" name="tbl_anual_total"/>
    <pivotTable tabId="3" name="tbl_easeasonpass_total"/>
    <pivotTable tabId="3" name="tbl_minecraftseasonpass_total"/>
    <pivotTable tabId="3" name="tbl_eaattach_rate"/>
    <pivotTable tabId="3" name="tbl_minecraftattach_rate"/>
    <pivotTable tabId="3" name="tbl_receita_total_pass"/>
    <pivotTable tabId="3" name="tbl_assinantes_total"/>
    <pivotTable tabId="3" name="Tabela dinâmica1"/>
  </pivotTables>
  <data>
    <tabular pivotCacheId="1864924762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B46EF8FA-7E54-41AF-8E3D-9B16D1B5027B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N296" totalsRowShown="0" dataDxfId="14">
  <autoFilter ref="A1:N296" xr:uid="{34E0E886-4200-4B36-97B3-63DB74FF40A0}">
    <filterColumn colId="2">
      <filters>
        <filter val="Ultimate"/>
      </filters>
    </filterColumn>
  </autoFilter>
  <tableColumns count="14">
    <tableColumn id="1" xr3:uid="{C4A90516-688A-46BF-9167-EA16C2A8A652}" name="Subscriber ID" dataDxfId="13"/>
    <tableColumn id="2" xr3:uid="{53DD39D0-2220-4121-9E9D-4EAA7E151C0F}" name="Name" dataDxfId="12"/>
    <tableColumn id="3" xr3:uid="{4F5FF271-4C57-4BE0-8F2C-F82C8551625C}" name="Plan" dataDxfId="11"/>
    <tableColumn id="4" xr3:uid="{8C17EB93-79B9-4E55-B8F7-BEB82F8253E9}" name="Start Date" dataDxfId="10"/>
    <tableColumn id="5" xr3:uid="{48CEDF9B-1689-482A-A828-5CCE7713264A}" name="Auto Renewal" dataDxfId="9"/>
    <tableColumn id="6" xr3:uid="{78B82374-9AA7-4E38-AE4F-78CDE6C83720}" name="Subscription Price" dataDxfId="8" dataCellStyle="Moeda"/>
    <tableColumn id="7" xr3:uid="{F2433F68-AF33-49D0-B1FB-19A396074EDE}" name="Subscription Type" dataDxfId="7"/>
    <tableColumn id="8" xr3:uid="{FD4D9C95-F6E5-4933-9068-A71FF7DF9343}" name="EA Play Season Pass" dataDxfId="6"/>
    <tableColumn id="13" xr3:uid="{978DD0D2-834E-4CE4-A39B-30976086932F}" name="EA Play Season Pass_x000a_Price" dataDxfId="5" dataCellStyle="Moeda"/>
    <tableColumn id="9" xr3:uid="{6E29F111-C395-4580-9DAD-3407D9E8B1A4}" name="Minecraft Season Pass" dataDxfId="4"/>
    <tableColumn id="10" xr3:uid="{EF544EAA-7F25-4FD5-A10E-8E62804DB9E3}" name="Minecraft Season Pass Price" dataDxfId="3" dataCellStyle="Moeda"/>
    <tableColumn id="11" xr3:uid="{7F6EB64A-1F07-4E48-9F0F-AC7D9DCD26F8}" name="Coupon Value" dataDxfId="2" dataCellStyle="Moeda"/>
    <tableColumn id="12" xr3:uid="{2B04ABC8-DE6F-426E-ADC0-D8AFC68CA58E}" name="Total Value" dataDxfId="1" dataCellStyle="Moeda"/>
    <tableColumn id="14" xr3:uid="{55943428-6ABD-4272-9383-08D72CCAD619}" name="Receita Total Pass" dataDxfId="0" dataCellStyle="Moeda">
      <calculatedColumnFormula>Tabela1[[#This Row],[EA Play Season Pass
Price]]+Tabela1[[#This Row],[Minecraft Season Pass Price]]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3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T23" sqref="T23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N296"/>
  <sheetViews>
    <sheetView topLeftCell="B1" zoomScale="90" zoomScaleNormal="90" workbookViewId="0">
      <selection activeCell="E1" sqref="E1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  <col min="14" max="14" width="11" customWidth="1"/>
  </cols>
  <sheetData>
    <row r="1" spans="1:14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311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  <c r="N1" s="8" t="s">
        <v>328</v>
      </c>
    </row>
    <row r="2" spans="1:14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  <c r="N2" s="11">
        <f>Tabela1[[#This Row],[EA Play Season Pass
Price]]+Tabela1[[#This Row],[Minecraft Season Pass Price]]</f>
        <v>50</v>
      </c>
    </row>
    <row r="3" spans="1:14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>
        <v>0</v>
      </c>
      <c r="J3" s="8" t="s">
        <v>23</v>
      </c>
      <c r="K3" s="11">
        <v>0</v>
      </c>
      <c r="L3" s="11">
        <v>0</v>
      </c>
      <c r="M3" s="11">
        <v>5</v>
      </c>
      <c r="N3" s="11">
        <f>Tabela1[[#This Row],[EA Play Season Pass
Price]]+Tabela1[[#This Row],[Minecraft Season Pass Price]]</f>
        <v>0</v>
      </c>
    </row>
    <row r="4" spans="1:14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>
        <v>0</v>
      </c>
      <c r="J4" s="8" t="s">
        <v>19</v>
      </c>
      <c r="K4" s="11">
        <v>20</v>
      </c>
      <c r="L4" s="11">
        <v>10</v>
      </c>
      <c r="M4" s="11">
        <v>20</v>
      </c>
      <c r="N4" s="11">
        <f>Tabela1[[#This Row],[EA Play Season Pass
Price]]+Tabela1[[#This Row],[Minecraft Season Pass Price]]</f>
        <v>20</v>
      </c>
    </row>
    <row r="5" spans="1:14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  <c r="N5" s="11">
        <f>Tabela1[[#This Row],[EA Play Season Pass
Price]]+Tabela1[[#This Row],[Minecraft Season Pass Price]]</f>
        <v>50</v>
      </c>
    </row>
    <row r="6" spans="1:14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>
        <v>0</v>
      </c>
      <c r="J6" s="8" t="s">
        <v>23</v>
      </c>
      <c r="K6" s="11">
        <v>0</v>
      </c>
      <c r="L6" s="11">
        <v>1</v>
      </c>
      <c r="M6" s="11">
        <v>4</v>
      </c>
      <c r="N6" s="11">
        <f>Tabela1[[#This Row],[EA Play Season Pass
Price]]+Tabela1[[#This Row],[Minecraft Season Pass Price]]</f>
        <v>0</v>
      </c>
    </row>
    <row r="7" spans="1:14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>
        <v>0</v>
      </c>
      <c r="J7" s="8" t="s">
        <v>19</v>
      </c>
      <c r="K7" s="11">
        <v>20</v>
      </c>
      <c r="L7" s="11">
        <v>2</v>
      </c>
      <c r="M7" s="11">
        <v>28</v>
      </c>
      <c r="N7" s="11">
        <f>Tabela1[[#This Row],[EA Play Season Pass
Price]]+Tabela1[[#This Row],[Minecraft Season Pass Price]]</f>
        <v>20</v>
      </c>
    </row>
    <row r="8" spans="1:14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  <c r="N8" s="11">
        <f>Tabela1[[#This Row],[EA Play Season Pass
Price]]+Tabela1[[#This Row],[Minecraft Season Pass Price]]</f>
        <v>50</v>
      </c>
    </row>
    <row r="9" spans="1:14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>
        <v>0</v>
      </c>
      <c r="J9" s="8" t="s">
        <v>23</v>
      </c>
      <c r="K9" s="11">
        <v>0</v>
      </c>
      <c r="L9" s="11">
        <v>0</v>
      </c>
      <c r="M9" s="11">
        <v>5</v>
      </c>
      <c r="N9" s="11">
        <f>Tabela1[[#This Row],[EA Play Season Pass
Price]]+Tabela1[[#This Row],[Minecraft Season Pass Price]]</f>
        <v>0</v>
      </c>
    </row>
    <row r="10" spans="1:14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  <c r="N10" s="11">
        <f>Tabela1[[#This Row],[EA Play Season Pass
Price]]+Tabela1[[#This Row],[Minecraft Season Pass Price]]</f>
        <v>50</v>
      </c>
    </row>
    <row r="11" spans="1:14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>
        <v>0</v>
      </c>
      <c r="J11" s="8" t="s">
        <v>19</v>
      </c>
      <c r="K11" s="11">
        <v>20</v>
      </c>
      <c r="L11" s="11">
        <v>15</v>
      </c>
      <c r="M11" s="11">
        <v>15</v>
      </c>
      <c r="N11" s="11">
        <f>Tabela1[[#This Row],[EA Play Season Pass
Price]]+Tabela1[[#This Row],[Minecraft Season Pass Price]]</f>
        <v>20</v>
      </c>
    </row>
    <row r="12" spans="1:14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>
        <v>0</v>
      </c>
      <c r="J12" s="8" t="s">
        <v>23</v>
      </c>
      <c r="K12" s="11">
        <v>0</v>
      </c>
      <c r="L12" s="11">
        <v>1</v>
      </c>
      <c r="M12" s="11">
        <v>4</v>
      </c>
      <c r="N12" s="11">
        <f>Tabela1[[#This Row],[EA Play Season Pass
Price]]+Tabela1[[#This Row],[Minecraft Season Pass Price]]</f>
        <v>0</v>
      </c>
    </row>
    <row r="13" spans="1:14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  <c r="N13" s="11">
        <f>Tabela1[[#This Row],[EA Play Season Pass
Price]]+Tabela1[[#This Row],[Minecraft Season Pass Price]]</f>
        <v>50</v>
      </c>
    </row>
    <row r="14" spans="1:14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>
        <v>0</v>
      </c>
      <c r="J14" s="8" t="s">
        <v>19</v>
      </c>
      <c r="K14" s="11">
        <v>20</v>
      </c>
      <c r="L14" s="11">
        <v>10</v>
      </c>
      <c r="M14" s="11">
        <v>20</v>
      </c>
      <c r="N14" s="11">
        <f>Tabela1[[#This Row],[EA Play Season Pass
Price]]+Tabela1[[#This Row],[Minecraft Season Pass Price]]</f>
        <v>20</v>
      </c>
    </row>
    <row r="15" spans="1:14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>
        <v>0</v>
      </c>
      <c r="J15" s="8" t="s">
        <v>23</v>
      </c>
      <c r="K15" s="11">
        <v>0</v>
      </c>
      <c r="L15" s="11">
        <v>0</v>
      </c>
      <c r="M15" s="11">
        <v>5</v>
      </c>
      <c r="N15" s="11">
        <f>Tabela1[[#This Row],[EA Play Season Pass
Price]]+Tabela1[[#This Row],[Minecraft Season Pass Price]]</f>
        <v>0</v>
      </c>
    </row>
    <row r="16" spans="1:14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  <c r="N16" s="11">
        <f>Tabela1[[#This Row],[EA Play Season Pass
Price]]+Tabela1[[#This Row],[Minecraft Season Pass Price]]</f>
        <v>50</v>
      </c>
    </row>
    <row r="17" spans="1:14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>
        <v>0</v>
      </c>
      <c r="J17" s="8" t="s">
        <v>19</v>
      </c>
      <c r="K17" s="11">
        <v>20</v>
      </c>
      <c r="L17" s="11">
        <v>12</v>
      </c>
      <c r="M17" s="11">
        <v>18</v>
      </c>
      <c r="N17" s="11">
        <f>Tabela1[[#This Row],[EA Play Season Pass
Price]]+Tabela1[[#This Row],[Minecraft Season Pass Price]]</f>
        <v>20</v>
      </c>
    </row>
    <row r="18" spans="1:14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>
        <v>0</v>
      </c>
      <c r="J18" s="8" t="s">
        <v>23</v>
      </c>
      <c r="K18" s="11">
        <v>0</v>
      </c>
      <c r="L18" s="11">
        <v>2</v>
      </c>
      <c r="M18" s="11">
        <v>3</v>
      </c>
      <c r="N18" s="11">
        <f>Tabela1[[#This Row],[EA Play Season Pass
Price]]+Tabela1[[#This Row],[Minecraft Season Pass Price]]</f>
        <v>0</v>
      </c>
    </row>
    <row r="19" spans="1:14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  <c r="N19" s="11">
        <f>Tabela1[[#This Row],[EA Play Season Pass
Price]]+Tabela1[[#This Row],[Minecraft Season Pass Price]]</f>
        <v>50</v>
      </c>
    </row>
    <row r="20" spans="1:14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>
        <v>0</v>
      </c>
      <c r="J20" s="8" t="s">
        <v>19</v>
      </c>
      <c r="K20" s="11">
        <v>20</v>
      </c>
      <c r="L20" s="11">
        <v>5</v>
      </c>
      <c r="M20" s="11">
        <v>25</v>
      </c>
      <c r="N20" s="11">
        <f>Tabela1[[#This Row],[EA Play Season Pass
Price]]+Tabela1[[#This Row],[Minecraft Season Pass Price]]</f>
        <v>20</v>
      </c>
    </row>
    <row r="21" spans="1:14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>
        <v>0</v>
      </c>
      <c r="J21" s="8" t="s">
        <v>23</v>
      </c>
      <c r="K21" s="11">
        <v>0</v>
      </c>
      <c r="L21" s="11">
        <v>0</v>
      </c>
      <c r="M21" s="11">
        <v>5</v>
      </c>
      <c r="N21" s="11">
        <f>Tabela1[[#This Row],[EA Play Season Pass
Price]]+Tabela1[[#This Row],[Minecraft Season Pass Price]]</f>
        <v>0</v>
      </c>
    </row>
    <row r="22" spans="1:14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  <c r="N22" s="11">
        <f>Tabela1[[#This Row],[EA Play Season Pass
Price]]+Tabela1[[#This Row],[Minecraft Season Pass Price]]</f>
        <v>50</v>
      </c>
    </row>
    <row r="23" spans="1:14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>
        <v>0</v>
      </c>
      <c r="J23" s="8" t="s">
        <v>19</v>
      </c>
      <c r="K23" s="11">
        <v>20</v>
      </c>
      <c r="L23" s="11">
        <v>15</v>
      </c>
      <c r="M23" s="11">
        <v>15</v>
      </c>
      <c r="N23" s="11">
        <f>Tabela1[[#This Row],[EA Play Season Pass
Price]]+Tabela1[[#This Row],[Minecraft Season Pass Price]]</f>
        <v>20</v>
      </c>
    </row>
    <row r="24" spans="1:14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>
        <v>0</v>
      </c>
      <c r="J24" s="8" t="s">
        <v>23</v>
      </c>
      <c r="K24" s="11">
        <v>0</v>
      </c>
      <c r="L24" s="11">
        <v>1</v>
      </c>
      <c r="M24" s="11">
        <v>4</v>
      </c>
      <c r="N24" s="11">
        <f>Tabela1[[#This Row],[EA Play Season Pass
Price]]+Tabela1[[#This Row],[Minecraft Season Pass Price]]</f>
        <v>0</v>
      </c>
    </row>
    <row r="25" spans="1:14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  <c r="N25" s="11">
        <f>Tabela1[[#This Row],[EA Play Season Pass
Price]]+Tabela1[[#This Row],[Minecraft Season Pass Price]]</f>
        <v>50</v>
      </c>
    </row>
    <row r="26" spans="1:14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>
        <v>0</v>
      </c>
      <c r="J26" s="8" t="s">
        <v>19</v>
      </c>
      <c r="K26" s="11">
        <v>20</v>
      </c>
      <c r="L26" s="11">
        <v>10</v>
      </c>
      <c r="M26" s="11">
        <v>20</v>
      </c>
      <c r="N26" s="11">
        <f>Tabela1[[#This Row],[EA Play Season Pass
Price]]+Tabela1[[#This Row],[Minecraft Season Pass Price]]</f>
        <v>20</v>
      </c>
    </row>
    <row r="27" spans="1:14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>
        <v>0</v>
      </c>
      <c r="J27" s="8" t="s">
        <v>23</v>
      </c>
      <c r="K27" s="11">
        <v>0</v>
      </c>
      <c r="L27" s="11">
        <v>0</v>
      </c>
      <c r="M27" s="11">
        <v>5</v>
      </c>
      <c r="N27" s="11">
        <f>Tabela1[[#This Row],[EA Play Season Pass
Price]]+Tabela1[[#This Row],[Minecraft Season Pass Price]]</f>
        <v>0</v>
      </c>
    </row>
    <row r="28" spans="1:14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  <c r="N28" s="11">
        <f>Tabela1[[#This Row],[EA Play Season Pass
Price]]+Tabela1[[#This Row],[Minecraft Season Pass Price]]</f>
        <v>50</v>
      </c>
    </row>
    <row r="29" spans="1:14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>
        <v>0</v>
      </c>
      <c r="J29" s="8" t="s">
        <v>19</v>
      </c>
      <c r="K29" s="11">
        <v>20</v>
      </c>
      <c r="L29" s="11">
        <v>15</v>
      </c>
      <c r="M29" s="11">
        <v>15</v>
      </c>
      <c r="N29" s="11">
        <f>Tabela1[[#This Row],[EA Play Season Pass
Price]]+Tabela1[[#This Row],[Minecraft Season Pass Price]]</f>
        <v>20</v>
      </c>
    </row>
    <row r="30" spans="1:14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>
        <v>0</v>
      </c>
      <c r="J30" s="8" t="s">
        <v>23</v>
      </c>
      <c r="K30" s="11">
        <v>0</v>
      </c>
      <c r="L30" s="11">
        <v>1</v>
      </c>
      <c r="M30" s="11">
        <v>4</v>
      </c>
      <c r="N30" s="11">
        <f>Tabela1[[#This Row],[EA Play Season Pass
Price]]+Tabela1[[#This Row],[Minecraft Season Pass Price]]</f>
        <v>0</v>
      </c>
    </row>
    <row r="31" spans="1:14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  <c r="N31" s="11">
        <f>Tabela1[[#This Row],[EA Play Season Pass
Price]]+Tabela1[[#This Row],[Minecraft Season Pass Price]]</f>
        <v>50</v>
      </c>
    </row>
    <row r="32" spans="1:14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>
        <v>0</v>
      </c>
      <c r="J32" s="8" t="s">
        <v>19</v>
      </c>
      <c r="K32" s="11">
        <v>20</v>
      </c>
      <c r="L32" s="11">
        <v>10</v>
      </c>
      <c r="M32" s="11">
        <v>20</v>
      </c>
      <c r="N32" s="11">
        <f>Tabela1[[#This Row],[EA Play Season Pass
Price]]+Tabela1[[#This Row],[Minecraft Season Pass Price]]</f>
        <v>20</v>
      </c>
    </row>
    <row r="33" spans="1:14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>
        <v>0</v>
      </c>
      <c r="J33" s="8" t="s">
        <v>23</v>
      </c>
      <c r="K33" s="11">
        <v>0</v>
      </c>
      <c r="L33" s="11">
        <v>0</v>
      </c>
      <c r="M33" s="11">
        <v>5</v>
      </c>
      <c r="N33" s="11">
        <f>Tabela1[[#This Row],[EA Play Season Pass
Price]]+Tabela1[[#This Row],[Minecraft Season Pass Price]]</f>
        <v>0</v>
      </c>
    </row>
    <row r="34" spans="1:14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  <c r="N34" s="11">
        <f>Tabela1[[#This Row],[EA Play Season Pass
Price]]+Tabela1[[#This Row],[Minecraft Season Pass Price]]</f>
        <v>50</v>
      </c>
    </row>
    <row r="35" spans="1:14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>
        <v>0</v>
      </c>
      <c r="J35" s="8" t="s">
        <v>19</v>
      </c>
      <c r="K35" s="11">
        <v>20</v>
      </c>
      <c r="L35" s="11">
        <v>15</v>
      </c>
      <c r="M35" s="11">
        <v>15</v>
      </c>
      <c r="N35" s="11">
        <f>Tabela1[[#This Row],[EA Play Season Pass
Price]]+Tabela1[[#This Row],[Minecraft Season Pass Price]]</f>
        <v>20</v>
      </c>
    </row>
    <row r="36" spans="1:14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>
        <v>0</v>
      </c>
      <c r="J36" s="8" t="s">
        <v>23</v>
      </c>
      <c r="K36" s="11">
        <v>0</v>
      </c>
      <c r="L36" s="11">
        <v>1</v>
      </c>
      <c r="M36" s="11">
        <v>4</v>
      </c>
      <c r="N36" s="11">
        <f>Tabela1[[#This Row],[EA Play Season Pass
Price]]+Tabela1[[#This Row],[Minecraft Season Pass Price]]</f>
        <v>0</v>
      </c>
    </row>
    <row r="37" spans="1:14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>
        <v>0</v>
      </c>
      <c r="J37" s="8" t="s">
        <v>23</v>
      </c>
      <c r="K37" s="11">
        <v>0</v>
      </c>
      <c r="L37" s="11">
        <v>0</v>
      </c>
      <c r="M37" s="11">
        <v>5</v>
      </c>
      <c r="N37" s="11">
        <f>Tabela1[[#This Row],[EA Play Season Pass
Price]]+Tabela1[[#This Row],[Minecraft Season Pass Price]]</f>
        <v>0</v>
      </c>
    </row>
    <row r="38" spans="1:14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  <c r="N38" s="11">
        <f>Tabela1[[#This Row],[EA Play Season Pass
Price]]+Tabela1[[#This Row],[Minecraft Season Pass Price]]</f>
        <v>50</v>
      </c>
    </row>
    <row r="39" spans="1:14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>
        <v>0</v>
      </c>
      <c r="J39" s="8" t="s">
        <v>19</v>
      </c>
      <c r="K39" s="11">
        <v>20</v>
      </c>
      <c r="L39" s="11">
        <v>10</v>
      </c>
      <c r="M39" s="11">
        <v>20</v>
      </c>
      <c r="N39" s="11">
        <f>Tabela1[[#This Row],[EA Play Season Pass
Price]]+Tabela1[[#This Row],[Minecraft Season Pass Price]]</f>
        <v>20</v>
      </c>
    </row>
    <row r="40" spans="1:14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>
        <v>0</v>
      </c>
      <c r="J40" s="8" t="s">
        <v>23</v>
      </c>
      <c r="K40" s="11">
        <v>0</v>
      </c>
      <c r="L40" s="11">
        <v>1</v>
      </c>
      <c r="M40" s="11">
        <v>4</v>
      </c>
      <c r="N40" s="11">
        <f>Tabela1[[#This Row],[EA Play Season Pass
Price]]+Tabela1[[#This Row],[Minecraft Season Pass Price]]</f>
        <v>0</v>
      </c>
    </row>
    <row r="41" spans="1:14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  <c r="N41" s="11">
        <f>Tabela1[[#This Row],[EA Play Season Pass
Price]]+Tabela1[[#This Row],[Minecraft Season Pass Price]]</f>
        <v>50</v>
      </c>
    </row>
    <row r="42" spans="1:14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>
        <v>0</v>
      </c>
      <c r="J42" s="8" t="s">
        <v>19</v>
      </c>
      <c r="K42" s="11">
        <v>20</v>
      </c>
      <c r="L42" s="11">
        <v>5</v>
      </c>
      <c r="M42" s="11">
        <v>25</v>
      </c>
      <c r="N42" s="11">
        <f>Tabela1[[#This Row],[EA Play Season Pass
Price]]+Tabela1[[#This Row],[Minecraft Season Pass Price]]</f>
        <v>20</v>
      </c>
    </row>
    <row r="43" spans="1:14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>
        <v>0</v>
      </c>
      <c r="J43" s="8" t="s">
        <v>23</v>
      </c>
      <c r="K43" s="11">
        <v>0</v>
      </c>
      <c r="L43" s="11">
        <v>0</v>
      </c>
      <c r="M43" s="11">
        <v>5</v>
      </c>
      <c r="N43" s="11">
        <f>Tabela1[[#This Row],[EA Play Season Pass
Price]]+Tabela1[[#This Row],[Minecraft Season Pass Price]]</f>
        <v>0</v>
      </c>
    </row>
    <row r="44" spans="1:14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  <c r="N44" s="11">
        <f>Tabela1[[#This Row],[EA Play Season Pass
Price]]+Tabela1[[#This Row],[Minecraft Season Pass Price]]</f>
        <v>50</v>
      </c>
    </row>
    <row r="45" spans="1:14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>
        <v>0</v>
      </c>
      <c r="J45" s="8" t="s">
        <v>19</v>
      </c>
      <c r="K45" s="11">
        <v>20</v>
      </c>
      <c r="L45" s="11">
        <v>12</v>
      </c>
      <c r="M45" s="11">
        <v>18</v>
      </c>
      <c r="N45" s="11">
        <f>Tabela1[[#This Row],[EA Play Season Pass
Price]]+Tabela1[[#This Row],[Minecraft Season Pass Price]]</f>
        <v>20</v>
      </c>
    </row>
    <row r="46" spans="1:14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>
        <v>0</v>
      </c>
      <c r="J46" s="8" t="s">
        <v>23</v>
      </c>
      <c r="K46" s="11">
        <v>0</v>
      </c>
      <c r="L46" s="11">
        <v>2</v>
      </c>
      <c r="M46" s="11">
        <v>3</v>
      </c>
      <c r="N46" s="11">
        <f>Tabela1[[#This Row],[EA Play Season Pass
Price]]+Tabela1[[#This Row],[Minecraft Season Pass Price]]</f>
        <v>0</v>
      </c>
    </row>
    <row r="47" spans="1:14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  <c r="N47" s="11">
        <f>Tabela1[[#This Row],[EA Play Season Pass
Price]]+Tabela1[[#This Row],[Minecraft Season Pass Price]]</f>
        <v>50</v>
      </c>
    </row>
    <row r="48" spans="1:14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>
        <v>0</v>
      </c>
      <c r="J48" s="8" t="s">
        <v>19</v>
      </c>
      <c r="K48" s="11">
        <v>20</v>
      </c>
      <c r="L48" s="11">
        <v>10</v>
      </c>
      <c r="M48" s="11">
        <v>20</v>
      </c>
      <c r="N48" s="11">
        <f>Tabela1[[#This Row],[EA Play Season Pass
Price]]+Tabela1[[#This Row],[Minecraft Season Pass Price]]</f>
        <v>20</v>
      </c>
    </row>
    <row r="49" spans="1:14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>
        <v>0</v>
      </c>
      <c r="J49" s="8" t="s">
        <v>23</v>
      </c>
      <c r="K49" s="11">
        <v>0</v>
      </c>
      <c r="L49" s="11">
        <v>0</v>
      </c>
      <c r="M49" s="11">
        <v>5</v>
      </c>
      <c r="N49" s="11">
        <f>Tabela1[[#This Row],[EA Play Season Pass
Price]]+Tabela1[[#This Row],[Minecraft Season Pass Price]]</f>
        <v>0</v>
      </c>
    </row>
    <row r="50" spans="1:14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  <c r="N50" s="11">
        <f>Tabela1[[#This Row],[EA Play Season Pass
Price]]+Tabela1[[#This Row],[Minecraft Season Pass Price]]</f>
        <v>50</v>
      </c>
    </row>
    <row r="51" spans="1:14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>
        <v>0</v>
      </c>
      <c r="J51" s="8" t="s">
        <v>19</v>
      </c>
      <c r="K51" s="11">
        <v>20</v>
      </c>
      <c r="L51" s="11">
        <v>15</v>
      </c>
      <c r="M51" s="11">
        <v>15</v>
      </c>
      <c r="N51" s="11">
        <f>Tabela1[[#This Row],[EA Play Season Pass
Price]]+Tabela1[[#This Row],[Minecraft Season Pass Price]]</f>
        <v>20</v>
      </c>
    </row>
    <row r="52" spans="1:14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>
        <v>0</v>
      </c>
      <c r="J52" s="8" t="s">
        <v>23</v>
      </c>
      <c r="K52" s="11">
        <v>0</v>
      </c>
      <c r="L52" s="11">
        <v>1</v>
      </c>
      <c r="M52" s="11">
        <v>4</v>
      </c>
      <c r="N52" s="11">
        <f>Tabela1[[#This Row],[EA Play Season Pass
Price]]+Tabela1[[#This Row],[Minecraft Season Pass Price]]</f>
        <v>0</v>
      </c>
    </row>
    <row r="53" spans="1:14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  <c r="N53" s="11">
        <f>Tabela1[[#This Row],[EA Play Season Pass
Price]]+Tabela1[[#This Row],[Minecraft Season Pass Price]]</f>
        <v>50</v>
      </c>
    </row>
    <row r="54" spans="1:14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>
        <v>0</v>
      </c>
      <c r="J54" s="8" t="s">
        <v>19</v>
      </c>
      <c r="K54" s="11">
        <v>20</v>
      </c>
      <c r="L54" s="11">
        <v>10</v>
      </c>
      <c r="M54" s="11">
        <v>20</v>
      </c>
      <c r="N54" s="11">
        <f>Tabela1[[#This Row],[EA Play Season Pass
Price]]+Tabela1[[#This Row],[Minecraft Season Pass Price]]</f>
        <v>20</v>
      </c>
    </row>
    <row r="55" spans="1:14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>
        <v>0</v>
      </c>
      <c r="J55" s="8" t="s">
        <v>23</v>
      </c>
      <c r="K55" s="11">
        <v>0</v>
      </c>
      <c r="L55" s="11">
        <v>0</v>
      </c>
      <c r="M55" s="11">
        <v>5</v>
      </c>
      <c r="N55" s="11">
        <f>Tabela1[[#This Row],[EA Play Season Pass
Price]]+Tabela1[[#This Row],[Minecraft Season Pass Price]]</f>
        <v>0</v>
      </c>
    </row>
    <row r="56" spans="1:14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  <c r="N56" s="11">
        <f>Tabela1[[#This Row],[EA Play Season Pass
Price]]+Tabela1[[#This Row],[Minecraft Season Pass Price]]</f>
        <v>50</v>
      </c>
    </row>
    <row r="57" spans="1:14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>
        <v>0</v>
      </c>
      <c r="J57" s="8" t="s">
        <v>19</v>
      </c>
      <c r="K57" s="11">
        <v>20</v>
      </c>
      <c r="L57" s="11">
        <v>15</v>
      </c>
      <c r="M57" s="11">
        <v>15</v>
      </c>
      <c r="N57" s="11">
        <f>Tabela1[[#This Row],[EA Play Season Pass
Price]]+Tabela1[[#This Row],[Minecraft Season Pass Price]]</f>
        <v>20</v>
      </c>
    </row>
    <row r="58" spans="1:14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>
        <v>0</v>
      </c>
      <c r="J58" s="8" t="s">
        <v>23</v>
      </c>
      <c r="K58" s="11">
        <v>0</v>
      </c>
      <c r="L58" s="11">
        <v>1</v>
      </c>
      <c r="M58" s="11">
        <v>4</v>
      </c>
      <c r="N58" s="11">
        <f>Tabela1[[#This Row],[EA Play Season Pass
Price]]+Tabela1[[#This Row],[Minecraft Season Pass Price]]</f>
        <v>0</v>
      </c>
    </row>
    <row r="59" spans="1:14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  <c r="N59" s="11">
        <f>Tabela1[[#This Row],[EA Play Season Pass
Price]]+Tabela1[[#This Row],[Minecraft Season Pass Price]]</f>
        <v>50</v>
      </c>
    </row>
    <row r="60" spans="1:14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>
        <v>0</v>
      </c>
      <c r="J60" s="8" t="s">
        <v>19</v>
      </c>
      <c r="K60" s="11">
        <v>20</v>
      </c>
      <c r="L60" s="11">
        <v>10</v>
      </c>
      <c r="M60" s="11">
        <v>20</v>
      </c>
      <c r="N60" s="11">
        <f>Tabela1[[#This Row],[EA Play Season Pass
Price]]+Tabela1[[#This Row],[Minecraft Season Pass Price]]</f>
        <v>20</v>
      </c>
    </row>
    <row r="61" spans="1:14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>
        <v>0</v>
      </c>
      <c r="J61" s="8" t="s">
        <v>23</v>
      </c>
      <c r="K61" s="11">
        <v>0</v>
      </c>
      <c r="L61" s="11">
        <v>0</v>
      </c>
      <c r="M61" s="11">
        <v>5</v>
      </c>
      <c r="N61" s="11">
        <f>Tabela1[[#This Row],[EA Play Season Pass
Price]]+Tabela1[[#This Row],[Minecraft Season Pass Price]]</f>
        <v>0</v>
      </c>
    </row>
    <row r="62" spans="1:14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  <c r="N62" s="11">
        <f>Tabela1[[#This Row],[EA Play Season Pass
Price]]+Tabela1[[#This Row],[Minecraft Season Pass Price]]</f>
        <v>50</v>
      </c>
    </row>
    <row r="63" spans="1:14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>
        <v>0</v>
      </c>
      <c r="J63" s="8" t="s">
        <v>19</v>
      </c>
      <c r="K63" s="11">
        <v>20</v>
      </c>
      <c r="L63" s="11">
        <v>15</v>
      </c>
      <c r="M63" s="11">
        <v>15</v>
      </c>
      <c r="N63" s="11">
        <f>Tabela1[[#This Row],[EA Play Season Pass
Price]]+Tabela1[[#This Row],[Minecraft Season Pass Price]]</f>
        <v>20</v>
      </c>
    </row>
    <row r="64" spans="1:14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>
        <v>0</v>
      </c>
      <c r="J64" s="8" t="s">
        <v>23</v>
      </c>
      <c r="K64" s="11">
        <v>0</v>
      </c>
      <c r="L64" s="11">
        <v>1</v>
      </c>
      <c r="M64" s="11">
        <v>4</v>
      </c>
      <c r="N64" s="11">
        <f>Tabela1[[#This Row],[EA Play Season Pass
Price]]+Tabela1[[#This Row],[Minecraft Season Pass Price]]</f>
        <v>0</v>
      </c>
    </row>
    <row r="65" spans="1:14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  <c r="N65" s="11">
        <f>Tabela1[[#This Row],[EA Play Season Pass
Price]]+Tabela1[[#This Row],[Minecraft Season Pass Price]]</f>
        <v>50</v>
      </c>
    </row>
    <row r="66" spans="1:14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>
        <v>0</v>
      </c>
      <c r="J66" s="8" t="s">
        <v>19</v>
      </c>
      <c r="K66" s="11">
        <v>20</v>
      </c>
      <c r="L66" s="11">
        <v>5</v>
      </c>
      <c r="M66" s="11">
        <v>25</v>
      </c>
      <c r="N66" s="11">
        <f>Tabela1[[#This Row],[EA Play Season Pass
Price]]+Tabela1[[#This Row],[Minecraft Season Pass Price]]</f>
        <v>20</v>
      </c>
    </row>
    <row r="67" spans="1:14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>
        <v>0</v>
      </c>
      <c r="J67" s="8" t="s">
        <v>23</v>
      </c>
      <c r="K67" s="11">
        <v>0</v>
      </c>
      <c r="L67" s="11">
        <v>0</v>
      </c>
      <c r="M67" s="11">
        <v>5</v>
      </c>
      <c r="N67" s="11">
        <f>Tabela1[[#This Row],[EA Play Season Pass
Price]]+Tabela1[[#This Row],[Minecraft Season Pass Price]]</f>
        <v>0</v>
      </c>
    </row>
    <row r="68" spans="1:14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  <c r="N68" s="11">
        <f>Tabela1[[#This Row],[EA Play Season Pass
Price]]+Tabela1[[#This Row],[Minecraft Season Pass Price]]</f>
        <v>50</v>
      </c>
    </row>
    <row r="69" spans="1:14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>
        <v>0</v>
      </c>
      <c r="J69" s="8" t="s">
        <v>19</v>
      </c>
      <c r="K69" s="11">
        <v>20</v>
      </c>
      <c r="L69" s="11">
        <v>10</v>
      </c>
      <c r="M69" s="11">
        <v>20</v>
      </c>
      <c r="N69" s="11">
        <f>Tabela1[[#This Row],[EA Play Season Pass
Price]]+Tabela1[[#This Row],[Minecraft Season Pass Price]]</f>
        <v>20</v>
      </c>
    </row>
    <row r="70" spans="1:14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>
        <v>0</v>
      </c>
      <c r="J70" s="8" t="s">
        <v>23</v>
      </c>
      <c r="K70" s="11">
        <v>0</v>
      </c>
      <c r="L70" s="11">
        <v>1</v>
      </c>
      <c r="M70" s="11">
        <v>4</v>
      </c>
      <c r="N70" s="11">
        <f>Tabela1[[#This Row],[EA Play Season Pass
Price]]+Tabela1[[#This Row],[Minecraft Season Pass Price]]</f>
        <v>0</v>
      </c>
    </row>
    <row r="71" spans="1:14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  <c r="N71" s="11">
        <f>Tabela1[[#This Row],[EA Play Season Pass
Price]]+Tabela1[[#This Row],[Minecraft Season Pass Price]]</f>
        <v>50</v>
      </c>
    </row>
    <row r="72" spans="1:14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>
        <v>0</v>
      </c>
      <c r="J72" s="8" t="s">
        <v>19</v>
      </c>
      <c r="K72" s="11">
        <v>20</v>
      </c>
      <c r="L72" s="11">
        <v>5</v>
      </c>
      <c r="M72" s="11">
        <v>25</v>
      </c>
      <c r="N72" s="11">
        <f>Tabela1[[#This Row],[EA Play Season Pass
Price]]+Tabela1[[#This Row],[Minecraft Season Pass Price]]</f>
        <v>20</v>
      </c>
    </row>
    <row r="73" spans="1:14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>
        <v>0</v>
      </c>
      <c r="J73" s="8" t="s">
        <v>23</v>
      </c>
      <c r="K73" s="11">
        <v>0</v>
      </c>
      <c r="L73" s="11">
        <v>0</v>
      </c>
      <c r="M73" s="11">
        <v>5</v>
      </c>
      <c r="N73" s="11">
        <f>Tabela1[[#This Row],[EA Play Season Pass
Price]]+Tabela1[[#This Row],[Minecraft Season Pass Price]]</f>
        <v>0</v>
      </c>
    </row>
    <row r="74" spans="1:14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  <c r="N74" s="11">
        <f>Tabela1[[#This Row],[EA Play Season Pass
Price]]+Tabela1[[#This Row],[Minecraft Season Pass Price]]</f>
        <v>50</v>
      </c>
    </row>
    <row r="75" spans="1:14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>
        <v>0</v>
      </c>
      <c r="J75" s="8" t="s">
        <v>19</v>
      </c>
      <c r="K75" s="11">
        <v>20</v>
      </c>
      <c r="L75" s="11">
        <v>12</v>
      </c>
      <c r="M75" s="11">
        <v>18</v>
      </c>
      <c r="N75" s="11">
        <f>Tabela1[[#This Row],[EA Play Season Pass
Price]]+Tabela1[[#This Row],[Minecraft Season Pass Price]]</f>
        <v>20</v>
      </c>
    </row>
    <row r="76" spans="1:14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>
        <v>0</v>
      </c>
      <c r="J76" s="8" t="s">
        <v>23</v>
      </c>
      <c r="K76" s="11">
        <v>0</v>
      </c>
      <c r="L76" s="11">
        <v>2</v>
      </c>
      <c r="M76" s="11">
        <v>3</v>
      </c>
      <c r="N76" s="11">
        <f>Tabela1[[#This Row],[EA Play Season Pass
Price]]+Tabela1[[#This Row],[Minecraft Season Pass Price]]</f>
        <v>0</v>
      </c>
    </row>
    <row r="77" spans="1:14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  <c r="N77" s="11">
        <f>Tabela1[[#This Row],[EA Play Season Pass
Price]]+Tabela1[[#This Row],[Minecraft Season Pass Price]]</f>
        <v>50</v>
      </c>
    </row>
    <row r="78" spans="1:14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>
        <v>0</v>
      </c>
      <c r="J78" s="8" t="s">
        <v>19</v>
      </c>
      <c r="K78" s="11">
        <v>20</v>
      </c>
      <c r="L78" s="11">
        <v>10</v>
      </c>
      <c r="M78" s="11">
        <v>20</v>
      </c>
      <c r="N78" s="11">
        <f>Tabela1[[#This Row],[EA Play Season Pass
Price]]+Tabela1[[#This Row],[Minecraft Season Pass Price]]</f>
        <v>20</v>
      </c>
    </row>
    <row r="79" spans="1:14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>
        <v>0</v>
      </c>
      <c r="J79" s="8" t="s">
        <v>23</v>
      </c>
      <c r="K79" s="11">
        <v>0</v>
      </c>
      <c r="L79" s="11">
        <v>0</v>
      </c>
      <c r="M79" s="11">
        <v>5</v>
      </c>
      <c r="N79" s="11">
        <f>Tabela1[[#This Row],[EA Play Season Pass
Price]]+Tabela1[[#This Row],[Minecraft Season Pass Price]]</f>
        <v>0</v>
      </c>
    </row>
    <row r="80" spans="1:14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  <c r="N80" s="11">
        <f>Tabela1[[#This Row],[EA Play Season Pass
Price]]+Tabela1[[#This Row],[Minecraft Season Pass Price]]</f>
        <v>50</v>
      </c>
    </row>
    <row r="81" spans="1:14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>
        <v>0</v>
      </c>
      <c r="J81" s="8" t="s">
        <v>19</v>
      </c>
      <c r="K81" s="11">
        <v>20</v>
      </c>
      <c r="L81" s="11">
        <v>15</v>
      </c>
      <c r="M81" s="11">
        <v>15</v>
      </c>
      <c r="N81" s="11">
        <f>Tabela1[[#This Row],[EA Play Season Pass
Price]]+Tabela1[[#This Row],[Minecraft Season Pass Price]]</f>
        <v>20</v>
      </c>
    </row>
    <row r="82" spans="1:14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>
        <v>0</v>
      </c>
      <c r="J82" s="8" t="s">
        <v>23</v>
      </c>
      <c r="K82" s="11">
        <v>0</v>
      </c>
      <c r="L82" s="11">
        <v>1</v>
      </c>
      <c r="M82" s="11">
        <v>4</v>
      </c>
      <c r="N82" s="11">
        <f>Tabela1[[#This Row],[EA Play Season Pass
Price]]+Tabela1[[#This Row],[Minecraft Season Pass Price]]</f>
        <v>0</v>
      </c>
    </row>
    <row r="83" spans="1:14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  <c r="N83" s="11">
        <f>Tabela1[[#This Row],[EA Play Season Pass
Price]]+Tabela1[[#This Row],[Minecraft Season Pass Price]]</f>
        <v>50</v>
      </c>
    </row>
    <row r="84" spans="1:14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>
        <v>0</v>
      </c>
      <c r="J84" s="8" t="s">
        <v>19</v>
      </c>
      <c r="K84" s="11">
        <v>20</v>
      </c>
      <c r="L84" s="11">
        <v>10</v>
      </c>
      <c r="M84" s="11">
        <v>20</v>
      </c>
      <c r="N84" s="11">
        <f>Tabela1[[#This Row],[EA Play Season Pass
Price]]+Tabela1[[#This Row],[Minecraft Season Pass Price]]</f>
        <v>20</v>
      </c>
    </row>
    <row r="85" spans="1:14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>
        <v>0</v>
      </c>
      <c r="J85" s="8" t="s">
        <v>23</v>
      </c>
      <c r="K85" s="11">
        <v>0</v>
      </c>
      <c r="L85" s="11">
        <v>0</v>
      </c>
      <c r="M85" s="11">
        <v>5</v>
      </c>
      <c r="N85" s="11">
        <f>Tabela1[[#This Row],[EA Play Season Pass
Price]]+Tabela1[[#This Row],[Minecraft Season Pass Price]]</f>
        <v>0</v>
      </c>
    </row>
    <row r="86" spans="1:14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  <c r="N86" s="11">
        <f>Tabela1[[#This Row],[EA Play Season Pass
Price]]+Tabela1[[#This Row],[Minecraft Season Pass Price]]</f>
        <v>50</v>
      </c>
    </row>
    <row r="87" spans="1:14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>
        <v>0</v>
      </c>
      <c r="J87" s="8" t="s">
        <v>19</v>
      </c>
      <c r="K87" s="11">
        <v>20</v>
      </c>
      <c r="L87" s="11">
        <v>15</v>
      </c>
      <c r="M87" s="11">
        <v>15</v>
      </c>
      <c r="N87" s="11">
        <f>Tabela1[[#This Row],[EA Play Season Pass
Price]]+Tabela1[[#This Row],[Minecraft Season Pass Price]]</f>
        <v>20</v>
      </c>
    </row>
    <row r="88" spans="1:14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>
        <v>0</v>
      </c>
      <c r="J88" s="8" t="s">
        <v>23</v>
      </c>
      <c r="K88" s="11">
        <v>0</v>
      </c>
      <c r="L88" s="11">
        <v>1</v>
      </c>
      <c r="M88" s="11">
        <v>4</v>
      </c>
      <c r="N88" s="11">
        <f>Tabela1[[#This Row],[EA Play Season Pass
Price]]+Tabela1[[#This Row],[Minecraft Season Pass Price]]</f>
        <v>0</v>
      </c>
    </row>
    <row r="89" spans="1:14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  <c r="N89" s="11">
        <f>Tabela1[[#This Row],[EA Play Season Pass
Price]]+Tabela1[[#This Row],[Minecraft Season Pass Price]]</f>
        <v>50</v>
      </c>
    </row>
    <row r="90" spans="1:14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>
        <v>0</v>
      </c>
      <c r="J90" s="8" t="s">
        <v>19</v>
      </c>
      <c r="K90" s="11">
        <v>20</v>
      </c>
      <c r="L90" s="11">
        <v>10</v>
      </c>
      <c r="M90" s="11">
        <v>20</v>
      </c>
      <c r="N90" s="11">
        <f>Tabela1[[#This Row],[EA Play Season Pass
Price]]+Tabela1[[#This Row],[Minecraft Season Pass Price]]</f>
        <v>20</v>
      </c>
    </row>
    <row r="91" spans="1:14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>
        <v>0</v>
      </c>
      <c r="J91" s="8" t="s">
        <v>23</v>
      </c>
      <c r="K91" s="11">
        <v>0</v>
      </c>
      <c r="L91" s="11">
        <v>0</v>
      </c>
      <c r="M91" s="11">
        <v>5</v>
      </c>
      <c r="N91" s="11">
        <f>Tabela1[[#This Row],[EA Play Season Pass
Price]]+Tabela1[[#This Row],[Minecraft Season Pass Price]]</f>
        <v>0</v>
      </c>
    </row>
    <row r="92" spans="1:14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  <c r="N92" s="11">
        <f>Tabela1[[#This Row],[EA Play Season Pass
Price]]+Tabela1[[#This Row],[Minecraft Season Pass Price]]</f>
        <v>50</v>
      </c>
    </row>
    <row r="93" spans="1:14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>
        <v>0</v>
      </c>
      <c r="J93" s="8" t="s">
        <v>19</v>
      </c>
      <c r="K93" s="11">
        <v>20</v>
      </c>
      <c r="L93" s="11">
        <v>15</v>
      </c>
      <c r="M93" s="11">
        <v>15</v>
      </c>
      <c r="N93" s="11">
        <f>Tabela1[[#This Row],[EA Play Season Pass
Price]]+Tabela1[[#This Row],[Minecraft Season Pass Price]]</f>
        <v>20</v>
      </c>
    </row>
    <row r="94" spans="1:14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>
        <v>0</v>
      </c>
      <c r="J94" s="8" t="s">
        <v>23</v>
      </c>
      <c r="K94" s="11">
        <v>0</v>
      </c>
      <c r="L94" s="11">
        <v>1</v>
      </c>
      <c r="M94" s="11">
        <v>4</v>
      </c>
      <c r="N94" s="11">
        <f>Tabela1[[#This Row],[EA Play Season Pass
Price]]+Tabela1[[#This Row],[Minecraft Season Pass Price]]</f>
        <v>0</v>
      </c>
    </row>
    <row r="95" spans="1:14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  <c r="N95" s="11">
        <f>Tabela1[[#This Row],[EA Play Season Pass
Price]]+Tabela1[[#This Row],[Minecraft Season Pass Price]]</f>
        <v>50</v>
      </c>
    </row>
    <row r="96" spans="1:14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>
        <v>0</v>
      </c>
      <c r="J96" s="8" t="s">
        <v>19</v>
      </c>
      <c r="K96" s="11">
        <v>20</v>
      </c>
      <c r="L96" s="11">
        <v>15</v>
      </c>
      <c r="M96" s="11">
        <v>15</v>
      </c>
      <c r="N96" s="11">
        <f>Tabela1[[#This Row],[EA Play Season Pass
Price]]+Tabela1[[#This Row],[Minecraft Season Pass Price]]</f>
        <v>20</v>
      </c>
    </row>
    <row r="97" spans="1:14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>
        <v>0</v>
      </c>
      <c r="J97" s="8" t="s">
        <v>23</v>
      </c>
      <c r="K97" s="11">
        <v>0</v>
      </c>
      <c r="L97" s="11">
        <v>0</v>
      </c>
      <c r="M97" s="11">
        <v>5</v>
      </c>
      <c r="N97" s="11">
        <f>Tabela1[[#This Row],[EA Play Season Pass
Price]]+Tabela1[[#This Row],[Minecraft Season Pass Price]]</f>
        <v>0</v>
      </c>
    </row>
    <row r="98" spans="1:14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  <c r="N98" s="11">
        <f>Tabela1[[#This Row],[EA Play Season Pass
Price]]+Tabela1[[#This Row],[Minecraft Season Pass Price]]</f>
        <v>50</v>
      </c>
    </row>
    <row r="99" spans="1:14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>
        <v>0</v>
      </c>
      <c r="J99" s="8" t="s">
        <v>19</v>
      </c>
      <c r="K99" s="11">
        <v>20</v>
      </c>
      <c r="L99" s="11">
        <v>10</v>
      </c>
      <c r="M99" s="11">
        <v>20</v>
      </c>
      <c r="N99" s="11">
        <f>Tabela1[[#This Row],[EA Play Season Pass
Price]]+Tabela1[[#This Row],[Minecraft Season Pass Price]]</f>
        <v>20</v>
      </c>
    </row>
    <row r="100" spans="1:14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>
        <v>0</v>
      </c>
      <c r="J100" s="8" t="s">
        <v>23</v>
      </c>
      <c r="K100" s="11">
        <v>0</v>
      </c>
      <c r="L100" s="11">
        <v>1</v>
      </c>
      <c r="M100" s="11">
        <v>4</v>
      </c>
      <c r="N100" s="11">
        <f>Tabela1[[#This Row],[EA Play Season Pass
Price]]+Tabela1[[#This Row],[Minecraft Season Pass Price]]</f>
        <v>0</v>
      </c>
    </row>
    <row r="101" spans="1:14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  <c r="N101" s="11">
        <f>Tabela1[[#This Row],[EA Play Season Pass
Price]]+Tabela1[[#This Row],[Minecraft Season Pass Price]]</f>
        <v>50</v>
      </c>
    </row>
    <row r="102" spans="1:14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>
        <v>0</v>
      </c>
      <c r="J102" s="8" t="s">
        <v>19</v>
      </c>
      <c r="K102" s="11">
        <v>20</v>
      </c>
      <c r="L102" s="11">
        <v>5</v>
      </c>
      <c r="M102" s="11">
        <v>25</v>
      </c>
      <c r="N102" s="11">
        <f>Tabela1[[#This Row],[EA Play Season Pass
Price]]+Tabela1[[#This Row],[Minecraft Season Pass Price]]</f>
        <v>20</v>
      </c>
    </row>
    <row r="103" spans="1:14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>
        <v>0</v>
      </c>
      <c r="J103" s="8" t="s">
        <v>23</v>
      </c>
      <c r="K103" s="11">
        <v>0</v>
      </c>
      <c r="L103" s="11">
        <v>0</v>
      </c>
      <c r="M103" s="11">
        <v>5</v>
      </c>
      <c r="N103" s="11">
        <f>Tabela1[[#This Row],[EA Play Season Pass
Price]]+Tabela1[[#This Row],[Minecraft Season Pass Price]]</f>
        <v>0</v>
      </c>
    </row>
    <row r="104" spans="1:14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  <c r="N104" s="11">
        <f>Tabela1[[#This Row],[EA Play Season Pass
Price]]+Tabela1[[#This Row],[Minecraft Season Pass Price]]</f>
        <v>50</v>
      </c>
    </row>
    <row r="105" spans="1:14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>
        <v>0</v>
      </c>
      <c r="J105" s="8" t="s">
        <v>19</v>
      </c>
      <c r="K105" s="11">
        <v>20</v>
      </c>
      <c r="L105" s="11">
        <v>12</v>
      </c>
      <c r="M105" s="11">
        <v>18</v>
      </c>
      <c r="N105" s="11">
        <f>Tabela1[[#This Row],[EA Play Season Pass
Price]]+Tabela1[[#This Row],[Minecraft Season Pass Price]]</f>
        <v>20</v>
      </c>
    </row>
    <row r="106" spans="1:14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>
        <v>0</v>
      </c>
      <c r="J106" s="8" t="s">
        <v>23</v>
      </c>
      <c r="K106" s="11">
        <v>0</v>
      </c>
      <c r="L106" s="11">
        <v>2</v>
      </c>
      <c r="M106" s="11">
        <v>3</v>
      </c>
      <c r="N106" s="11">
        <f>Tabela1[[#This Row],[EA Play Season Pass
Price]]+Tabela1[[#This Row],[Minecraft Season Pass Price]]</f>
        <v>0</v>
      </c>
    </row>
    <row r="107" spans="1:14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>
        <v>0</v>
      </c>
      <c r="J107" s="8" t="s">
        <v>23</v>
      </c>
      <c r="K107" s="11">
        <v>0</v>
      </c>
      <c r="L107" s="11">
        <v>0</v>
      </c>
      <c r="M107" s="11">
        <v>5</v>
      </c>
      <c r="N107" s="11">
        <f>Tabela1[[#This Row],[EA Play Season Pass
Price]]+Tabela1[[#This Row],[Minecraft Season Pass Price]]</f>
        <v>0</v>
      </c>
    </row>
    <row r="108" spans="1:14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  <c r="N108" s="11">
        <f>Tabela1[[#This Row],[EA Play Season Pass
Price]]+Tabela1[[#This Row],[Minecraft Season Pass Price]]</f>
        <v>50</v>
      </c>
    </row>
    <row r="109" spans="1:14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>
        <v>0</v>
      </c>
      <c r="J109" s="8" t="s">
        <v>19</v>
      </c>
      <c r="K109" s="11">
        <v>20</v>
      </c>
      <c r="L109" s="11">
        <v>10</v>
      </c>
      <c r="M109" s="11">
        <v>20</v>
      </c>
      <c r="N109" s="11">
        <f>Tabela1[[#This Row],[EA Play Season Pass
Price]]+Tabela1[[#This Row],[Minecraft Season Pass Price]]</f>
        <v>20</v>
      </c>
    </row>
    <row r="110" spans="1:14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>
        <v>0</v>
      </c>
      <c r="J110" s="8" t="s">
        <v>23</v>
      </c>
      <c r="K110" s="11">
        <v>0</v>
      </c>
      <c r="L110" s="11">
        <v>1</v>
      </c>
      <c r="M110" s="11">
        <v>4</v>
      </c>
      <c r="N110" s="11">
        <f>Tabela1[[#This Row],[EA Play Season Pass
Price]]+Tabela1[[#This Row],[Minecraft Season Pass Price]]</f>
        <v>0</v>
      </c>
    </row>
    <row r="111" spans="1:14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  <c r="N111" s="11">
        <f>Tabela1[[#This Row],[EA Play Season Pass
Price]]+Tabela1[[#This Row],[Minecraft Season Pass Price]]</f>
        <v>50</v>
      </c>
    </row>
    <row r="112" spans="1:14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>
        <v>0</v>
      </c>
      <c r="J112" s="8" t="s">
        <v>19</v>
      </c>
      <c r="K112" s="11">
        <v>20</v>
      </c>
      <c r="L112" s="11">
        <v>5</v>
      </c>
      <c r="M112" s="11">
        <v>25</v>
      </c>
      <c r="N112" s="11">
        <f>Tabela1[[#This Row],[EA Play Season Pass
Price]]+Tabela1[[#This Row],[Minecraft Season Pass Price]]</f>
        <v>20</v>
      </c>
    </row>
    <row r="113" spans="1:14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>
        <v>0</v>
      </c>
      <c r="J113" s="8" t="s">
        <v>23</v>
      </c>
      <c r="K113" s="11">
        <v>0</v>
      </c>
      <c r="L113" s="11">
        <v>0</v>
      </c>
      <c r="M113" s="11">
        <v>5</v>
      </c>
      <c r="N113" s="11">
        <f>Tabela1[[#This Row],[EA Play Season Pass
Price]]+Tabela1[[#This Row],[Minecraft Season Pass Price]]</f>
        <v>0</v>
      </c>
    </row>
    <row r="114" spans="1:14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  <c r="N114" s="11">
        <f>Tabela1[[#This Row],[EA Play Season Pass
Price]]+Tabela1[[#This Row],[Minecraft Season Pass Price]]</f>
        <v>50</v>
      </c>
    </row>
    <row r="115" spans="1:14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>
        <v>0</v>
      </c>
      <c r="J115" s="8" t="s">
        <v>19</v>
      </c>
      <c r="K115" s="11">
        <v>20</v>
      </c>
      <c r="L115" s="11">
        <v>12</v>
      </c>
      <c r="M115" s="11">
        <v>18</v>
      </c>
      <c r="N115" s="11">
        <f>Tabela1[[#This Row],[EA Play Season Pass
Price]]+Tabela1[[#This Row],[Minecraft Season Pass Price]]</f>
        <v>20</v>
      </c>
    </row>
    <row r="116" spans="1:14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>
        <v>0</v>
      </c>
      <c r="J116" s="8" t="s">
        <v>23</v>
      </c>
      <c r="K116" s="11">
        <v>0</v>
      </c>
      <c r="L116" s="11">
        <v>2</v>
      </c>
      <c r="M116" s="11">
        <v>3</v>
      </c>
      <c r="N116" s="11">
        <f>Tabela1[[#This Row],[EA Play Season Pass
Price]]+Tabela1[[#This Row],[Minecraft Season Pass Price]]</f>
        <v>0</v>
      </c>
    </row>
    <row r="117" spans="1:14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  <c r="N117" s="11">
        <f>Tabela1[[#This Row],[EA Play Season Pass
Price]]+Tabela1[[#This Row],[Minecraft Season Pass Price]]</f>
        <v>50</v>
      </c>
    </row>
    <row r="118" spans="1:14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>
        <v>0</v>
      </c>
      <c r="J118" s="8" t="s">
        <v>19</v>
      </c>
      <c r="K118" s="11">
        <v>20</v>
      </c>
      <c r="L118" s="11">
        <v>10</v>
      </c>
      <c r="M118" s="11">
        <v>20</v>
      </c>
      <c r="N118" s="11">
        <f>Tabela1[[#This Row],[EA Play Season Pass
Price]]+Tabela1[[#This Row],[Minecraft Season Pass Price]]</f>
        <v>20</v>
      </c>
    </row>
    <row r="119" spans="1:14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>
        <v>0</v>
      </c>
      <c r="J119" s="8" t="s">
        <v>23</v>
      </c>
      <c r="K119" s="11">
        <v>0</v>
      </c>
      <c r="L119" s="11">
        <v>0</v>
      </c>
      <c r="M119" s="11">
        <v>5</v>
      </c>
      <c r="N119" s="11">
        <f>Tabela1[[#This Row],[EA Play Season Pass
Price]]+Tabela1[[#This Row],[Minecraft Season Pass Price]]</f>
        <v>0</v>
      </c>
    </row>
    <row r="120" spans="1:14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  <c r="N120" s="11">
        <f>Tabela1[[#This Row],[EA Play Season Pass
Price]]+Tabela1[[#This Row],[Minecraft Season Pass Price]]</f>
        <v>50</v>
      </c>
    </row>
    <row r="121" spans="1:14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>
        <v>0</v>
      </c>
      <c r="J121" s="8" t="s">
        <v>19</v>
      </c>
      <c r="K121" s="11">
        <v>20</v>
      </c>
      <c r="L121" s="11">
        <v>15</v>
      </c>
      <c r="M121" s="11">
        <v>15</v>
      </c>
      <c r="N121" s="11">
        <f>Tabela1[[#This Row],[EA Play Season Pass
Price]]+Tabela1[[#This Row],[Minecraft Season Pass Price]]</f>
        <v>20</v>
      </c>
    </row>
    <row r="122" spans="1:14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>
        <v>0</v>
      </c>
      <c r="J122" s="8" t="s">
        <v>23</v>
      </c>
      <c r="K122" s="11">
        <v>0</v>
      </c>
      <c r="L122" s="11">
        <v>1</v>
      </c>
      <c r="M122" s="11">
        <v>4</v>
      </c>
      <c r="N122" s="11">
        <f>Tabela1[[#This Row],[EA Play Season Pass
Price]]+Tabela1[[#This Row],[Minecraft Season Pass Price]]</f>
        <v>0</v>
      </c>
    </row>
    <row r="123" spans="1:14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  <c r="N123" s="11">
        <f>Tabela1[[#This Row],[EA Play Season Pass
Price]]+Tabela1[[#This Row],[Minecraft Season Pass Price]]</f>
        <v>50</v>
      </c>
    </row>
    <row r="124" spans="1:14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>
        <v>0</v>
      </c>
      <c r="J124" s="8" t="s">
        <v>19</v>
      </c>
      <c r="K124" s="11">
        <v>20</v>
      </c>
      <c r="L124" s="11">
        <v>10</v>
      </c>
      <c r="M124" s="11">
        <v>20</v>
      </c>
      <c r="N124" s="11">
        <f>Tabela1[[#This Row],[EA Play Season Pass
Price]]+Tabela1[[#This Row],[Minecraft Season Pass Price]]</f>
        <v>20</v>
      </c>
    </row>
    <row r="125" spans="1:14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>
        <v>0</v>
      </c>
      <c r="J125" s="8" t="s">
        <v>23</v>
      </c>
      <c r="K125" s="11">
        <v>0</v>
      </c>
      <c r="L125" s="11">
        <v>0</v>
      </c>
      <c r="M125" s="11">
        <v>5</v>
      </c>
      <c r="N125" s="11">
        <f>Tabela1[[#This Row],[EA Play Season Pass
Price]]+Tabela1[[#This Row],[Minecraft Season Pass Price]]</f>
        <v>0</v>
      </c>
    </row>
    <row r="126" spans="1:14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  <c r="N126" s="11">
        <f>Tabela1[[#This Row],[EA Play Season Pass
Price]]+Tabela1[[#This Row],[Minecraft Season Pass Price]]</f>
        <v>50</v>
      </c>
    </row>
    <row r="127" spans="1:14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>
        <v>0</v>
      </c>
      <c r="J127" s="8" t="s">
        <v>19</v>
      </c>
      <c r="K127" s="11">
        <v>20</v>
      </c>
      <c r="L127" s="11">
        <v>15</v>
      </c>
      <c r="M127" s="11">
        <v>15</v>
      </c>
      <c r="N127" s="11">
        <f>Tabela1[[#This Row],[EA Play Season Pass
Price]]+Tabela1[[#This Row],[Minecraft Season Pass Price]]</f>
        <v>20</v>
      </c>
    </row>
    <row r="128" spans="1:14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>
        <v>0</v>
      </c>
      <c r="J128" s="8" t="s">
        <v>23</v>
      </c>
      <c r="K128" s="11">
        <v>0</v>
      </c>
      <c r="L128" s="11">
        <v>1</v>
      </c>
      <c r="M128" s="11">
        <v>4</v>
      </c>
      <c r="N128" s="11">
        <f>Tabela1[[#This Row],[EA Play Season Pass
Price]]+Tabela1[[#This Row],[Minecraft Season Pass Price]]</f>
        <v>0</v>
      </c>
    </row>
    <row r="129" spans="1:14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  <c r="N129" s="11">
        <f>Tabela1[[#This Row],[EA Play Season Pass
Price]]+Tabela1[[#This Row],[Minecraft Season Pass Price]]</f>
        <v>50</v>
      </c>
    </row>
    <row r="130" spans="1:14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>
        <v>0</v>
      </c>
      <c r="J130" s="8" t="s">
        <v>19</v>
      </c>
      <c r="K130" s="11">
        <v>20</v>
      </c>
      <c r="L130" s="11">
        <v>10</v>
      </c>
      <c r="M130" s="11">
        <v>20</v>
      </c>
      <c r="N130" s="11">
        <f>Tabela1[[#This Row],[EA Play Season Pass
Price]]+Tabela1[[#This Row],[Minecraft Season Pass Price]]</f>
        <v>20</v>
      </c>
    </row>
    <row r="131" spans="1:14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>
        <v>0</v>
      </c>
      <c r="J131" s="8" t="s">
        <v>23</v>
      </c>
      <c r="K131" s="11">
        <v>0</v>
      </c>
      <c r="L131" s="11">
        <v>0</v>
      </c>
      <c r="M131" s="11">
        <v>5</v>
      </c>
      <c r="N131" s="11">
        <f>Tabela1[[#This Row],[EA Play Season Pass
Price]]+Tabela1[[#This Row],[Minecraft Season Pass Price]]</f>
        <v>0</v>
      </c>
    </row>
    <row r="132" spans="1:14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  <c r="N132" s="11">
        <f>Tabela1[[#This Row],[EA Play Season Pass
Price]]+Tabela1[[#This Row],[Minecraft Season Pass Price]]</f>
        <v>50</v>
      </c>
    </row>
    <row r="133" spans="1:14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>
        <v>0</v>
      </c>
      <c r="J133" s="8" t="s">
        <v>19</v>
      </c>
      <c r="K133" s="11">
        <v>20</v>
      </c>
      <c r="L133" s="11">
        <v>15</v>
      </c>
      <c r="M133" s="11">
        <v>15</v>
      </c>
      <c r="N133" s="11">
        <f>Tabela1[[#This Row],[EA Play Season Pass
Price]]+Tabela1[[#This Row],[Minecraft Season Pass Price]]</f>
        <v>20</v>
      </c>
    </row>
    <row r="134" spans="1:14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>
        <v>0</v>
      </c>
      <c r="J134" s="8" t="s">
        <v>23</v>
      </c>
      <c r="K134" s="11">
        <v>0</v>
      </c>
      <c r="L134" s="11">
        <v>1</v>
      </c>
      <c r="M134" s="11">
        <v>4</v>
      </c>
      <c r="N134" s="11">
        <f>Tabela1[[#This Row],[EA Play Season Pass
Price]]+Tabela1[[#This Row],[Minecraft Season Pass Price]]</f>
        <v>0</v>
      </c>
    </row>
    <row r="135" spans="1:14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  <c r="N135" s="11">
        <f>Tabela1[[#This Row],[EA Play Season Pass
Price]]+Tabela1[[#This Row],[Minecraft Season Pass Price]]</f>
        <v>50</v>
      </c>
    </row>
    <row r="136" spans="1:14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>
        <v>0</v>
      </c>
      <c r="J136" s="8" t="s">
        <v>19</v>
      </c>
      <c r="K136" s="11">
        <v>20</v>
      </c>
      <c r="L136" s="11">
        <v>10</v>
      </c>
      <c r="M136" s="11">
        <v>20</v>
      </c>
      <c r="N136" s="11">
        <f>Tabela1[[#This Row],[EA Play Season Pass
Price]]+Tabela1[[#This Row],[Minecraft Season Pass Price]]</f>
        <v>20</v>
      </c>
    </row>
    <row r="137" spans="1:14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>
        <v>0</v>
      </c>
      <c r="J137" s="8" t="s">
        <v>23</v>
      </c>
      <c r="K137" s="11">
        <v>0</v>
      </c>
      <c r="L137" s="11">
        <v>0</v>
      </c>
      <c r="M137" s="11">
        <v>5</v>
      </c>
      <c r="N137" s="11">
        <f>Tabela1[[#This Row],[EA Play Season Pass
Price]]+Tabela1[[#This Row],[Minecraft Season Pass Price]]</f>
        <v>0</v>
      </c>
    </row>
    <row r="138" spans="1:14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  <c r="N138" s="11">
        <f>Tabela1[[#This Row],[EA Play Season Pass
Price]]+Tabela1[[#This Row],[Minecraft Season Pass Price]]</f>
        <v>50</v>
      </c>
    </row>
    <row r="139" spans="1:14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>
        <v>0</v>
      </c>
      <c r="J139" s="8" t="s">
        <v>19</v>
      </c>
      <c r="K139" s="11">
        <v>20</v>
      </c>
      <c r="L139" s="11">
        <v>10</v>
      </c>
      <c r="M139" s="11">
        <v>20</v>
      </c>
      <c r="N139" s="11">
        <f>Tabela1[[#This Row],[EA Play Season Pass
Price]]+Tabela1[[#This Row],[Minecraft Season Pass Price]]</f>
        <v>20</v>
      </c>
    </row>
    <row r="140" spans="1:14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>
        <v>0</v>
      </c>
      <c r="J140" s="8" t="s">
        <v>23</v>
      </c>
      <c r="K140" s="11">
        <v>0</v>
      </c>
      <c r="L140" s="11">
        <v>1</v>
      </c>
      <c r="M140" s="11">
        <v>4</v>
      </c>
      <c r="N140" s="11">
        <f>Tabela1[[#This Row],[EA Play Season Pass
Price]]+Tabela1[[#This Row],[Minecraft Season Pass Price]]</f>
        <v>0</v>
      </c>
    </row>
    <row r="141" spans="1:14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  <c r="N141" s="11">
        <f>Tabela1[[#This Row],[EA Play Season Pass
Price]]+Tabela1[[#This Row],[Minecraft Season Pass Price]]</f>
        <v>50</v>
      </c>
    </row>
    <row r="142" spans="1:14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>
        <v>0</v>
      </c>
      <c r="J142" s="8" t="s">
        <v>19</v>
      </c>
      <c r="K142" s="11">
        <v>20</v>
      </c>
      <c r="L142" s="11">
        <v>5</v>
      </c>
      <c r="M142" s="11">
        <v>25</v>
      </c>
      <c r="N142" s="11">
        <f>Tabela1[[#This Row],[EA Play Season Pass
Price]]+Tabela1[[#This Row],[Minecraft Season Pass Price]]</f>
        <v>20</v>
      </c>
    </row>
    <row r="143" spans="1:14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>
        <v>0</v>
      </c>
      <c r="J143" s="8" t="s">
        <v>23</v>
      </c>
      <c r="K143" s="11">
        <v>0</v>
      </c>
      <c r="L143" s="11">
        <v>0</v>
      </c>
      <c r="M143" s="11">
        <v>5</v>
      </c>
      <c r="N143" s="11">
        <f>Tabela1[[#This Row],[EA Play Season Pass
Price]]+Tabela1[[#This Row],[Minecraft Season Pass Price]]</f>
        <v>0</v>
      </c>
    </row>
    <row r="144" spans="1:14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  <c r="N144" s="11">
        <f>Tabela1[[#This Row],[EA Play Season Pass
Price]]+Tabela1[[#This Row],[Minecraft Season Pass Price]]</f>
        <v>50</v>
      </c>
    </row>
    <row r="145" spans="1:14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>
        <v>0</v>
      </c>
      <c r="J145" s="8" t="s">
        <v>19</v>
      </c>
      <c r="K145" s="11">
        <v>20</v>
      </c>
      <c r="L145" s="11">
        <v>12</v>
      </c>
      <c r="M145" s="11">
        <v>18</v>
      </c>
      <c r="N145" s="11">
        <f>Tabela1[[#This Row],[EA Play Season Pass
Price]]+Tabela1[[#This Row],[Minecraft Season Pass Price]]</f>
        <v>20</v>
      </c>
    </row>
    <row r="146" spans="1:14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>
        <v>0</v>
      </c>
      <c r="J146" s="8" t="s">
        <v>23</v>
      </c>
      <c r="K146" s="11">
        <v>0</v>
      </c>
      <c r="L146" s="11">
        <v>2</v>
      </c>
      <c r="M146" s="11">
        <v>3</v>
      </c>
      <c r="N146" s="11">
        <f>Tabela1[[#This Row],[EA Play Season Pass
Price]]+Tabela1[[#This Row],[Minecraft Season Pass Price]]</f>
        <v>0</v>
      </c>
    </row>
    <row r="147" spans="1:14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  <c r="N147" s="11">
        <f>Tabela1[[#This Row],[EA Play Season Pass
Price]]+Tabela1[[#This Row],[Minecraft Season Pass Price]]</f>
        <v>50</v>
      </c>
    </row>
    <row r="148" spans="1:14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>
        <v>0</v>
      </c>
      <c r="J148" s="8" t="s">
        <v>19</v>
      </c>
      <c r="K148" s="11">
        <v>20</v>
      </c>
      <c r="L148" s="11">
        <v>10</v>
      </c>
      <c r="M148" s="11">
        <v>20</v>
      </c>
      <c r="N148" s="11">
        <f>Tabela1[[#This Row],[EA Play Season Pass
Price]]+Tabela1[[#This Row],[Minecraft Season Pass Price]]</f>
        <v>20</v>
      </c>
    </row>
    <row r="149" spans="1:14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>
        <v>0</v>
      </c>
      <c r="J149" s="8" t="s">
        <v>23</v>
      </c>
      <c r="K149" s="11">
        <v>0</v>
      </c>
      <c r="L149" s="11">
        <v>0</v>
      </c>
      <c r="M149" s="11">
        <v>5</v>
      </c>
      <c r="N149" s="11">
        <f>Tabela1[[#This Row],[EA Play Season Pass
Price]]+Tabela1[[#This Row],[Minecraft Season Pass Price]]</f>
        <v>0</v>
      </c>
    </row>
    <row r="150" spans="1:14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  <c r="N150" s="11">
        <f>Tabela1[[#This Row],[EA Play Season Pass
Price]]+Tabela1[[#This Row],[Minecraft Season Pass Price]]</f>
        <v>50</v>
      </c>
    </row>
    <row r="151" spans="1:14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>
        <v>0</v>
      </c>
      <c r="J151" s="8" t="s">
        <v>19</v>
      </c>
      <c r="K151" s="11">
        <v>20</v>
      </c>
      <c r="L151" s="11">
        <v>15</v>
      </c>
      <c r="M151" s="11">
        <v>15</v>
      </c>
      <c r="N151" s="11">
        <f>Tabela1[[#This Row],[EA Play Season Pass
Price]]+Tabela1[[#This Row],[Minecraft Season Pass Price]]</f>
        <v>20</v>
      </c>
    </row>
    <row r="152" spans="1:14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>
        <v>0</v>
      </c>
      <c r="J152" s="8" t="s">
        <v>23</v>
      </c>
      <c r="K152" s="11">
        <v>0</v>
      </c>
      <c r="L152" s="11">
        <v>1</v>
      </c>
      <c r="M152" s="11">
        <v>4</v>
      </c>
      <c r="N152" s="11">
        <f>Tabela1[[#This Row],[EA Play Season Pass
Price]]+Tabela1[[#This Row],[Minecraft Season Pass Price]]</f>
        <v>0</v>
      </c>
    </row>
    <row r="153" spans="1:14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  <c r="N153" s="11">
        <f>Tabela1[[#This Row],[EA Play Season Pass
Price]]+Tabela1[[#This Row],[Minecraft Season Pass Price]]</f>
        <v>50</v>
      </c>
    </row>
    <row r="154" spans="1:14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>
        <v>0</v>
      </c>
      <c r="J154" s="8" t="s">
        <v>19</v>
      </c>
      <c r="K154" s="11">
        <v>20</v>
      </c>
      <c r="L154" s="11">
        <v>10</v>
      </c>
      <c r="M154" s="11">
        <v>20</v>
      </c>
      <c r="N154" s="11">
        <f>Tabela1[[#This Row],[EA Play Season Pass
Price]]+Tabela1[[#This Row],[Minecraft Season Pass Price]]</f>
        <v>20</v>
      </c>
    </row>
    <row r="155" spans="1:14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>
        <v>0</v>
      </c>
      <c r="J155" s="8" t="s">
        <v>23</v>
      </c>
      <c r="K155" s="11">
        <v>0</v>
      </c>
      <c r="L155" s="11">
        <v>0</v>
      </c>
      <c r="M155" s="11">
        <v>5</v>
      </c>
      <c r="N155" s="11">
        <f>Tabela1[[#This Row],[EA Play Season Pass
Price]]+Tabela1[[#This Row],[Minecraft Season Pass Price]]</f>
        <v>0</v>
      </c>
    </row>
    <row r="156" spans="1:14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  <c r="N156" s="11">
        <f>Tabela1[[#This Row],[EA Play Season Pass
Price]]+Tabela1[[#This Row],[Minecraft Season Pass Price]]</f>
        <v>50</v>
      </c>
    </row>
    <row r="157" spans="1:14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>
        <v>0</v>
      </c>
      <c r="J157" s="8" t="s">
        <v>19</v>
      </c>
      <c r="K157" s="11">
        <v>20</v>
      </c>
      <c r="L157" s="11">
        <v>15</v>
      </c>
      <c r="M157" s="11">
        <v>15</v>
      </c>
      <c r="N157" s="11">
        <f>Tabela1[[#This Row],[EA Play Season Pass
Price]]+Tabela1[[#This Row],[Minecraft Season Pass Price]]</f>
        <v>20</v>
      </c>
    </row>
    <row r="158" spans="1:14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>
        <v>0</v>
      </c>
      <c r="J158" s="8" t="s">
        <v>23</v>
      </c>
      <c r="K158" s="11">
        <v>0</v>
      </c>
      <c r="L158" s="11">
        <v>1</v>
      </c>
      <c r="M158" s="11">
        <v>4</v>
      </c>
      <c r="N158" s="11">
        <f>Tabela1[[#This Row],[EA Play Season Pass
Price]]+Tabela1[[#This Row],[Minecraft Season Pass Price]]</f>
        <v>0</v>
      </c>
    </row>
    <row r="159" spans="1:14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  <c r="N159" s="11">
        <f>Tabela1[[#This Row],[EA Play Season Pass
Price]]+Tabela1[[#This Row],[Minecraft Season Pass Price]]</f>
        <v>50</v>
      </c>
    </row>
    <row r="160" spans="1:14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>
        <v>0</v>
      </c>
      <c r="J160" s="8" t="s">
        <v>19</v>
      </c>
      <c r="K160" s="11">
        <v>20</v>
      </c>
      <c r="L160" s="11">
        <v>10</v>
      </c>
      <c r="M160" s="11">
        <v>20</v>
      </c>
      <c r="N160" s="11">
        <f>Tabela1[[#This Row],[EA Play Season Pass
Price]]+Tabela1[[#This Row],[Minecraft Season Pass Price]]</f>
        <v>20</v>
      </c>
    </row>
    <row r="161" spans="1:14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>
        <v>0</v>
      </c>
      <c r="J161" s="8" t="s">
        <v>23</v>
      </c>
      <c r="K161" s="11">
        <v>0</v>
      </c>
      <c r="L161" s="11">
        <v>0</v>
      </c>
      <c r="M161" s="11">
        <v>5</v>
      </c>
      <c r="N161" s="11">
        <f>Tabela1[[#This Row],[EA Play Season Pass
Price]]+Tabela1[[#This Row],[Minecraft Season Pass Price]]</f>
        <v>0</v>
      </c>
    </row>
    <row r="162" spans="1:14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  <c r="N162" s="11">
        <f>Tabela1[[#This Row],[EA Play Season Pass
Price]]+Tabela1[[#This Row],[Minecraft Season Pass Price]]</f>
        <v>50</v>
      </c>
    </row>
    <row r="163" spans="1:14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>
        <v>0</v>
      </c>
      <c r="J163" s="8" t="s">
        <v>19</v>
      </c>
      <c r="K163" s="11">
        <v>20</v>
      </c>
      <c r="L163" s="11">
        <v>15</v>
      </c>
      <c r="M163" s="11">
        <v>15</v>
      </c>
      <c r="N163" s="11">
        <f>Tabela1[[#This Row],[EA Play Season Pass
Price]]+Tabela1[[#This Row],[Minecraft Season Pass Price]]</f>
        <v>20</v>
      </c>
    </row>
    <row r="164" spans="1:14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>
        <v>0</v>
      </c>
      <c r="J164" s="8" t="s">
        <v>23</v>
      </c>
      <c r="K164" s="11">
        <v>0</v>
      </c>
      <c r="L164" s="11">
        <v>1</v>
      </c>
      <c r="M164" s="11">
        <v>4</v>
      </c>
      <c r="N164" s="11">
        <f>Tabela1[[#This Row],[EA Play Season Pass
Price]]+Tabela1[[#This Row],[Minecraft Season Pass Price]]</f>
        <v>0</v>
      </c>
    </row>
    <row r="165" spans="1:14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  <c r="N165" s="11">
        <f>Tabela1[[#This Row],[EA Play Season Pass
Price]]+Tabela1[[#This Row],[Minecraft Season Pass Price]]</f>
        <v>50</v>
      </c>
    </row>
    <row r="166" spans="1:14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>
        <v>0</v>
      </c>
      <c r="J166" s="8" t="s">
        <v>19</v>
      </c>
      <c r="K166" s="11">
        <v>20</v>
      </c>
      <c r="L166" s="11">
        <v>10</v>
      </c>
      <c r="M166" s="11">
        <v>20</v>
      </c>
      <c r="N166" s="11">
        <f>Tabela1[[#This Row],[EA Play Season Pass
Price]]+Tabela1[[#This Row],[Minecraft Season Pass Price]]</f>
        <v>20</v>
      </c>
    </row>
    <row r="167" spans="1:14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>
        <v>0</v>
      </c>
      <c r="J167" s="8" t="s">
        <v>23</v>
      </c>
      <c r="K167" s="11">
        <v>0</v>
      </c>
      <c r="L167" s="11">
        <v>0</v>
      </c>
      <c r="M167" s="11">
        <v>5</v>
      </c>
      <c r="N167" s="11">
        <f>Tabela1[[#This Row],[EA Play Season Pass
Price]]+Tabela1[[#This Row],[Minecraft Season Pass Price]]</f>
        <v>0</v>
      </c>
    </row>
    <row r="168" spans="1:14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  <c r="N168" s="11">
        <f>Tabela1[[#This Row],[EA Play Season Pass
Price]]+Tabela1[[#This Row],[Minecraft Season Pass Price]]</f>
        <v>50</v>
      </c>
    </row>
    <row r="169" spans="1:14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>
        <v>0</v>
      </c>
      <c r="J169" s="8" t="s">
        <v>19</v>
      </c>
      <c r="K169" s="11">
        <v>20</v>
      </c>
      <c r="L169" s="11">
        <v>15</v>
      </c>
      <c r="M169" s="11">
        <v>15</v>
      </c>
      <c r="N169" s="11">
        <f>Tabela1[[#This Row],[EA Play Season Pass
Price]]+Tabela1[[#This Row],[Minecraft Season Pass Price]]</f>
        <v>20</v>
      </c>
    </row>
    <row r="170" spans="1:14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>
        <v>0</v>
      </c>
      <c r="J170" s="8" t="s">
        <v>23</v>
      </c>
      <c r="K170" s="11">
        <v>0</v>
      </c>
      <c r="L170" s="11">
        <v>1</v>
      </c>
      <c r="M170" s="11">
        <v>4</v>
      </c>
      <c r="N170" s="11">
        <f>Tabela1[[#This Row],[EA Play Season Pass
Price]]+Tabela1[[#This Row],[Minecraft Season Pass Price]]</f>
        <v>0</v>
      </c>
    </row>
    <row r="171" spans="1:14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  <c r="N171" s="11">
        <f>Tabela1[[#This Row],[EA Play Season Pass
Price]]+Tabela1[[#This Row],[Minecraft Season Pass Price]]</f>
        <v>50</v>
      </c>
    </row>
    <row r="172" spans="1:14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>
        <v>0</v>
      </c>
      <c r="J172" s="8" t="s">
        <v>19</v>
      </c>
      <c r="K172" s="11">
        <v>20</v>
      </c>
      <c r="L172" s="11">
        <v>10</v>
      </c>
      <c r="M172" s="11">
        <v>20</v>
      </c>
      <c r="N172" s="11">
        <f>Tabela1[[#This Row],[EA Play Season Pass
Price]]+Tabela1[[#This Row],[Minecraft Season Pass Price]]</f>
        <v>20</v>
      </c>
    </row>
    <row r="173" spans="1:14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>
        <v>0</v>
      </c>
      <c r="J173" s="8" t="s">
        <v>23</v>
      </c>
      <c r="K173" s="11">
        <v>0</v>
      </c>
      <c r="L173" s="11">
        <v>0</v>
      </c>
      <c r="M173" s="11">
        <v>5</v>
      </c>
      <c r="N173" s="11">
        <f>Tabela1[[#This Row],[EA Play Season Pass
Price]]+Tabela1[[#This Row],[Minecraft Season Pass Price]]</f>
        <v>0</v>
      </c>
    </row>
    <row r="174" spans="1:14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  <c r="N174" s="11">
        <f>Tabela1[[#This Row],[EA Play Season Pass
Price]]+Tabela1[[#This Row],[Minecraft Season Pass Price]]</f>
        <v>50</v>
      </c>
    </row>
    <row r="175" spans="1:14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>
        <v>0</v>
      </c>
      <c r="J175" s="8" t="s">
        <v>19</v>
      </c>
      <c r="K175" s="11">
        <v>20</v>
      </c>
      <c r="L175" s="11">
        <v>15</v>
      </c>
      <c r="M175" s="11">
        <v>15</v>
      </c>
      <c r="N175" s="11">
        <f>Tabela1[[#This Row],[EA Play Season Pass
Price]]+Tabela1[[#This Row],[Minecraft Season Pass Price]]</f>
        <v>20</v>
      </c>
    </row>
    <row r="176" spans="1:14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>
        <v>0</v>
      </c>
      <c r="J176" s="8" t="s">
        <v>23</v>
      </c>
      <c r="K176" s="11">
        <v>0</v>
      </c>
      <c r="L176" s="11">
        <v>1</v>
      </c>
      <c r="M176" s="11">
        <v>4</v>
      </c>
      <c r="N176" s="11">
        <f>Tabela1[[#This Row],[EA Play Season Pass
Price]]+Tabela1[[#This Row],[Minecraft Season Pass Price]]</f>
        <v>0</v>
      </c>
    </row>
    <row r="177" spans="1:14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>
        <v>0</v>
      </c>
      <c r="J177" s="8" t="s">
        <v>23</v>
      </c>
      <c r="K177" s="11">
        <v>0</v>
      </c>
      <c r="L177" s="11">
        <v>0</v>
      </c>
      <c r="M177" s="11">
        <v>5</v>
      </c>
      <c r="N177" s="11">
        <f>Tabela1[[#This Row],[EA Play Season Pass
Price]]+Tabela1[[#This Row],[Minecraft Season Pass Price]]</f>
        <v>0</v>
      </c>
    </row>
    <row r="178" spans="1:14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  <c r="N178" s="11">
        <f>Tabela1[[#This Row],[EA Play Season Pass
Price]]+Tabela1[[#This Row],[Minecraft Season Pass Price]]</f>
        <v>50</v>
      </c>
    </row>
    <row r="179" spans="1:14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>
        <v>0</v>
      </c>
      <c r="J179" s="8" t="s">
        <v>19</v>
      </c>
      <c r="K179" s="11">
        <v>20</v>
      </c>
      <c r="L179" s="11">
        <v>10</v>
      </c>
      <c r="M179" s="11">
        <v>20</v>
      </c>
      <c r="N179" s="11">
        <f>Tabela1[[#This Row],[EA Play Season Pass
Price]]+Tabela1[[#This Row],[Minecraft Season Pass Price]]</f>
        <v>20</v>
      </c>
    </row>
    <row r="180" spans="1:14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>
        <v>0</v>
      </c>
      <c r="J180" s="8" t="s">
        <v>23</v>
      </c>
      <c r="K180" s="11">
        <v>0</v>
      </c>
      <c r="L180" s="11">
        <v>1</v>
      </c>
      <c r="M180" s="11">
        <v>4</v>
      </c>
      <c r="N180" s="11">
        <f>Tabela1[[#This Row],[EA Play Season Pass
Price]]+Tabela1[[#This Row],[Minecraft Season Pass Price]]</f>
        <v>0</v>
      </c>
    </row>
    <row r="181" spans="1:14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  <c r="N181" s="11">
        <f>Tabela1[[#This Row],[EA Play Season Pass
Price]]+Tabela1[[#This Row],[Minecraft Season Pass Price]]</f>
        <v>50</v>
      </c>
    </row>
    <row r="182" spans="1:14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>
        <v>0</v>
      </c>
      <c r="J182" s="8" t="s">
        <v>19</v>
      </c>
      <c r="K182" s="11">
        <v>20</v>
      </c>
      <c r="L182" s="11">
        <v>5</v>
      </c>
      <c r="M182" s="11">
        <v>25</v>
      </c>
      <c r="N182" s="11">
        <f>Tabela1[[#This Row],[EA Play Season Pass
Price]]+Tabela1[[#This Row],[Minecraft Season Pass Price]]</f>
        <v>20</v>
      </c>
    </row>
    <row r="183" spans="1:14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>
        <v>0</v>
      </c>
      <c r="J183" s="8" t="s">
        <v>23</v>
      </c>
      <c r="K183" s="11">
        <v>0</v>
      </c>
      <c r="L183" s="11">
        <v>0</v>
      </c>
      <c r="M183" s="11">
        <v>5</v>
      </c>
      <c r="N183" s="11">
        <f>Tabela1[[#This Row],[EA Play Season Pass
Price]]+Tabela1[[#This Row],[Minecraft Season Pass Price]]</f>
        <v>0</v>
      </c>
    </row>
    <row r="184" spans="1:14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  <c r="N184" s="11">
        <f>Tabela1[[#This Row],[EA Play Season Pass
Price]]+Tabela1[[#This Row],[Minecraft Season Pass Price]]</f>
        <v>50</v>
      </c>
    </row>
    <row r="185" spans="1:14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>
        <v>0</v>
      </c>
      <c r="J185" s="8" t="s">
        <v>19</v>
      </c>
      <c r="K185" s="11">
        <v>20</v>
      </c>
      <c r="L185" s="11">
        <v>12</v>
      </c>
      <c r="M185" s="11">
        <v>18</v>
      </c>
      <c r="N185" s="11">
        <f>Tabela1[[#This Row],[EA Play Season Pass
Price]]+Tabela1[[#This Row],[Minecraft Season Pass Price]]</f>
        <v>20</v>
      </c>
    </row>
    <row r="186" spans="1:14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>
        <v>0</v>
      </c>
      <c r="J186" s="8" t="s">
        <v>23</v>
      </c>
      <c r="K186" s="11">
        <v>0</v>
      </c>
      <c r="L186" s="11">
        <v>2</v>
      </c>
      <c r="M186" s="11">
        <v>3</v>
      </c>
      <c r="N186" s="11">
        <f>Tabela1[[#This Row],[EA Play Season Pass
Price]]+Tabela1[[#This Row],[Minecraft Season Pass Price]]</f>
        <v>0</v>
      </c>
    </row>
    <row r="187" spans="1:14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  <c r="N187" s="11">
        <f>Tabela1[[#This Row],[EA Play Season Pass
Price]]+Tabela1[[#This Row],[Minecraft Season Pass Price]]</f>
        <v>50</v>
      </c>
    </row>
    <row r="188" spans="1:14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>
        <v>0</v>
      </c>
      <c r="J188" s="8" t="s">
        <v>19</v>
      </c>
      <c r="K188" s="11">
        <v>20</v>
      </c>
      <c r="L188" s="11">
        <v>10</v>
      </c>
      <c r="M188" s="11">
        <v>20</v>
      </c>
      <c r="N188" s="11">
        <f>Tabela1[[#This Row],[EA Play Season Pass
Price]]+Tabela1[[#This Row],[Minecraft Season Pass Price]]</f>
        <v>20</v>
      </c>
    </row>
    <row r="189" spans="1:14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>
        <v>0</v>
      </c>
      <c r="J189" s="8" t="s">
        <v>23</v>
      </c>
      <c r="K189" s="11">
        <v>0</v>
      </c>
      <c r="L189" s="11">
        <v>0</v>
      </c>
      <c r="M189" s="11">
        <v>5</v>
      </c>
      <c r="N189" s="11">
        <f>Tabela1[[#This Row],[EA Play Season Pass
Price]]+Tabela1[[#This Row],[Minecraft Season Pass Price]]</f>
        <v>0</v>
      </c>
    </row>
    <row r="190" spans="1:14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  <c r="N190" s="11">
        <f>Tabela1[[#This Row],[EA Play Season Pass
Price]]+Tabela1[[#This Row],[Minecraft Season Pass Price]]</f>
        <v>50</v>
      </c>
    </row>
    <row r="191" spans="1:14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>
        <v>0</v>
      </c>
      <c r="J191" s="8" t="s">
        <v>19</v>
      </c>
      <c r="K191" s="11">
        <v>20</v>
      </c>
      <c r="L191" s="11">
        <v>15</v>
      </c>
      <c r="M191" s="11">
        <v>15</v>
      </c>
      <c r="N191" s="11">
        <f>Tabela1[[#This Row],[EA Play Season Pass
Price]]+Tabela1[[#This Row],[Minecraft Season Pass Price]]</f>
        <v>20</v>
      </c>
    </row>
    <row r="192" spans="1:14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>
        <v>0</v>
      </c>
      <c r="J192" s="8" t="s">
        <v>23</v>
      </c>
      <c r="K192" s="11">
        <v>0</v>
      </c>
      <c r="L192" s="11">
        <v>1</v>
      </c>
      <c r="M192" s="11">
        <v>4</v>
      </c>
      <c r="N192" s="11">
        <f>Tabela1[[#This Row],[EA Play Season Pass
Price]]+Tabela1[[#This Row],[Minecraft Season Pass Price]]</f>
        <v>0</v>
      </c>
    </row>
    <row r="193" spans="1:14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  <c r="N193" s="11">
        <f>Tabela1[[#This Row],[EA Play Season Pass
Price]]+Tabela1[[#This Row],[Minecraft Season Pass Price]]</f>
        <v>50</v>
      </c>
    </row>
    <row r="194" spans="1:14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>
        <v>0</v>
      </c>
      <c r="J194" s="8" t="s">
        <v>19</v>
      </c>
      <c r="K194" s="11">
        <v>20</v>
      </c>
      <c r="L194" s="11">
        <v>10</v>
      </c>
      <c r="M194" s="11">
        <v>20</v>
      </c>
      <c r="N194" s="11">
        <f>Tabela1[[#This Row],[EA Play Season Pass
Price]]+Tabela1[[#This Row],[Minecraft Season Pass Price]]</f>
        <v>20</v>
      </c>
    </row>
    <row r="195" spans="1:14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>
        <v>0</v>
      </c>
      <c r="J195" s="8" t="s">
        <v>23</v>
      </c>
      <c r="K195" s="11">
        <v>0</v>
      </c>
      <c r="L195" s="11">
        <v>0</v>
      </c>
      <c r="M195" s="11">
        <v>5</v>
      </c>
      <c r="N195" s="11">
        <f>Tabela1[[#This Row],[EA Play Season Pass
Price]]+Tabela1[[#This Row],[Minecraft Season Pass Price]]</f>
        <v>0</v>
      </c>
    </row>
    <row r="196" spans="1:14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  <c r="N196" s="11">
        <f>Tabela1[[#This Row],[EA Play Season Pass
Price]]+Tabela1[[#This Row],[Minecraft Season Pass Price]]</f>
        <v>50</v>
      </c>
    </row>
    <row r="197" spans="1:14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>
        <v>0</v>
      </c>
      <c r="J197" s="8" t="s">
        <v>19</v>
      </c>
      <c r="K197" s="11">
        <v>20</v>
      </c>
      <c r="L197" s="11">
        <v>15</v>
      </c>
      <c r="M197" s="11">
        <v>15</v>
      </c>
      <c r="N197" s="11">
        <f>Tabela1[[#This Row],[EA Play Season Pass
Price]]+Tabela1[[#This Row],[Minecraft Season Pass Price]]</f>
        <v>20</v>
      </c>
    </row>
    <row r="198" spans="1:14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>
        <v>0</v>
      </c>
      <c r="J198" s="8" t="s">
        <v>23</v>
      </c>
      <c r="K198" s="11">
        <v>0</v>
      </c>
      <c r="L198" s="11">
        <v>1</v>
      </c>
      <c r="M198" s="11">
        <v>4</v>
      </c>
      <c r="N198" s="11">
        <f>Tabela1[[#This Row],[EA Play Season Pass
Price]]+Tabela1[[#This Row],[Minecraft Season Pass Price]]</f>
        <v>0</v>
      </c>
    </row>
    <row r="199" spans="1:14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  <c r="N199" s="11">
        <f>Tabela1[[#This Row],[EA Play Season Pass
Price]]+Tabela1[[#This Row],[Minecraft Season Pass Price]]</f>
        <v>50</v>
      </c>
    </row>
    <row r="200" spans="1:14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>
        <v>0</v>
      </c>
      <c r="J200" s="8" t="s">
        <v>19</v>
      </c>
      <c r="K200" s="11">
        <v>20</v>
      </c>
      <c r="L200" s="11">
        <v>10</v>
      </c>
      <c r="M200" s="11">
        <v>20</v>
      </c>
      <c r="N200" s="11">
        <f>Tabela1[[#This Row],[EA Play Season Pass
Price]]+Tabela1[[#This Row],[Minecraft Season Pass Price]]</f>
        <v>20</v>
      </c>
    </row>
    <row r="201" spans="1:14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>
        <v>0</v>
      </c>
      <c r="J201" s="8" t="s">
        <v>23</v>
      </c>
      <c r="K201" s="11">
        <v>0</v>
      </c>
      <c r="L201" s="11">
        <v>0</v>
      </c>
      <c r="M201" s="11">
        <v>5</v>
      </c>
      <c r="N201" s="11">
        <f>Tabela1[[#This Row],[EA Play Season Pass
Price]]+Tabela1[[#This Row],[Minecraft Season Pass Price]]</f>
        <v>0</v>
      </c>
    </row>
    <row r="202" spans="1:14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  <c r="N202" s="11">
        <f>Tabela1[[#This Row],[EA Play Season Pass
Price]]+Tabela1[[#This Row],[Minecraft Season Pass Price]]</f>
        <v>50</v>
      </c>
    </row>
    <row r="203" spans="1:14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>
        <v>0</v>
      </c>
      <c r="J203" s="8" t="s">
        <v>19</v>
      </c>
      <c r="K203" s="11">
        <v>20</v>
      </c>
      <c r="L203" s="11">
        <v>15</v>
      </c>
      <c r="M203" s="11">
        <v>15</v>
      </c>
      <c r="N203" s="11">
        <f>Tabela1[[#This Row],[EA Play Season Pass
Price]]+Tabela1[[#This Row],[Minecraft Season Pass Price]]</f>
        <v>20</v>
      </c>
    </row>
    <row r="204" spans="1:14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>
        <v>0</v>
      </c>
      <c r="J204" s="8" t="s">
        <v>23</v>
      </c>
      <c r="K204" s="11">
        <v>0</v>
      </c>
      <c r="L204" s="11">
        <v>1</v>
      </c>
      <c r="M204" s="11">
        <v>4</v>
      </c>
      <c r="N204" s="11">
        <f>Tabela1[[#This Row],[EA Play Season Pass
Price]]+Tabela1[[#This Row],[Minecraft Season Pass Price]]</f>
        <v>0</v>
      </c>
    </row>
    <row r="205" spans="1:14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  <c r="N205" s="11">
        <f>Tabela1[[#This Row],[EA Play Season Pass
Price]]+Tabela1[[#This Row],[Minecraft Season Pass Price]]</f>
        <v>50</v>
      </c>
    </row>
    <row r="206" spans="1:14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>
        <v>0</v>
      </c>
      <c r="J206" s="8" t="s">
        <v>19</v>
      </c>
      <c r="K206" s="11">
        <v>20</v>
      </c>
      <c r="L206" s="11">
        <v>10</v>
      </c>
      <c r="M206" s="11">
        <v>20</v>
      </c>
      <c r="N206" s="11">
        <f>Tabela1[[#This Row],[EA Play Season Pass
Price]]+Tabela1[[#This Row],[Minecraft Season Pass Price]]</f>
        <v>20</v>
      </c>
    </row>
    <row r="207" spans="1:14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>
        <v>0</v>
      </c>
      <c r="J207" s="8" t="s">
        <v>23</v>
      </c>
      <c r="K207" s="11">
        <v>0</v>
      </c>
      <c r="L207" s="11">
        <v>0</v>
      </c>
      <c r="M207" s="11">
        <v>5</v>
      </c>
      <c r="N207" s="11">
        <f>Tabela1[[#This Row],[EA Play Season Pass
Price]]+Tabela1[[#This Row],[Minecraft Season Pass Price]]</f>
        <v>0</v>
      </c>
    </row>
    <row r="208" spans="1:14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  <c r="N208" s="11">
        <f>Tabela1[[#This Row],[EA Play Season Pass
Price]]+Tabela1[[#This Row],[Minecraft Season Pass Price]]</f>
        <v>50</v>
      </c>
    </row>
    <row r="209" spans="1:14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>
        <v>0</v>
      </c>
      <c r="J209" s="8" t="s">
        <v>19</v>
      </c>
      <c r="K209" s="11">
        <v>20</v>
      </c>
      <c r="L209" s="11">
        <v>10</v>
      </c>
      <c r="M209" s="11">
        <v>20</v>
      </c>
      <c r="N209" s="11">
        <f>Tabela1[[#This Row],[EA Play Season Pass
Price]]+Tabela1[[#This Row],[Minecraft Season Pass Price]]</f>
        <v>20</v>
      </c>
    </row>
    <row r="210" spans="1:14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>
        <v>0</v>
      </c>
      <c r="J210" s="8" t="s">
        <v>23</v>
      </c>
      <c r="K210" s="11">
        <v>0</v>
      </c>
      <c r="L210" s="11">
        <v>1</v>
      </c>
      <c r="M210" s="11">
        <v>4</v>
      </c>
      <c r="N210" s="11">
        <f>Tabela1[[#This Row],[EA Play Season Pass
Price]]+Tabela1[[#This Row],[Minecraft Season Pass Price]]</f>
        <v>0</v>
      </c>
    </row>
    <row r="211" spans="1:14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  <c r="N211" s="11">
        <f>Tabela1[[#This Row],[EA Play Season Pass
Price]]+Tabela1[[#This Row],[Minecraft Season Pass Price]]</f>
        <v>50</v>
      </c>
    </row>
    <row r="212" spans="1:14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>
        <v>0</v>
      </c>
      <c r="J212" s="8" t="s">
        <v>19</v>
      </c>
      <c r="K212" s="11">
        <v>20</v>
      </c>
      <c r="L212" s="11">
        <v>5</v>
      </c>
      <c r="M212" s="11">
        <v>25</v>
      </c>
      <c r="N212" s="11">
        <f>Tabela1[[#This Row],[EA Play Season Pass
Price]]+Tabela1[[#This Row],[Minecraft Season Pass Price]]</f>
        <v>20</v>
      </c>
    </row>
    <row r="213" spans="1:14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>
        <v>0</v>
      </c>
      <c r="J213" s="8" t="s">
        <v>23</v>
      </c>
      <c r="K213" s="11">
        <v>0</v>
      </c>
      <c r="L213" s="11">
        <v>0</v>
      </c>
      <c r="M213" s="11">
        <v>5</v>
      </c>
      <c r="N213" s="11">
        <f>Tabela1[[#This Row],[EA Play Season Pass
Price]]+Tabela1[[#This Row],[Minecraft Season Pass Price]]</f>
        <v>0</v>
      </c>
    </row>
    <row r="214" spans="1:14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  <c r="N214" s="11">
        <f>Tabela1[[#This Row],[EA Play Season Pass
Price]]+Tabela1[[#This Row],[Minecraft Season Pass Price]]</f>
        <v>50</v>
      </c>
    </row>
    <row r="215" spans="1:14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>
        <v>0</v>
      </c>
      <c r="J215" s="8" t="s">
        <v>19</v>
      </c>
      <c r="K215" s="11">
        <v>20</v>
      </c>
      <c r="L215" s="11">
        <v>12</v>
      </c>
      <c r="M215" s="11">
        <v>18</v>
      </c>
      <c r="N215" s="11">
        <f>Tabela1[[#This Row],[EA Play Season Pass
Price]]+Tabela1[[#This Row],[Minecraft Season Pass Price]]</f>
        <v>20</v>
      </c>
    </row>
    <row r="216" spans="1:14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>
        <v>0</v>
      </c>
      <c r="J216" s="8" t="s">
        <v>23</v>
      </c>
      <c r="K216" s="11">
        <v>0</v>
      </c>
      <c r="L216" s="11">
        <v>2</v>
      </c>
      <c r="M216" s="11">
        <v>3</v>
      </c>
      <c r="N216" s="11">
        <f>Tabela1[[#This Row],[EA Play Season Pass
Price]]+Tabela1[[#This Row],[Minecraft Season Pass Price]]</f>
        <v>0</v>
      </c>
    </row>
    <row r="217" spans="1:14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  <c r="N217" s="11">
        <f>Tabela1[[#This Row],[EA Play Season Pass
Price]]+Tabela1[[#This Row],[Minecraft Season Pass Price]]</f>
        <v>50</v>
      </c>
    </row>
    <row r="218" spans="1:14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>
        <v>0</v>
      </c>
      <c r="J218" s="8" t="s">
        <v>19</v>
      </c>
      <c r="K218" s="11">
        <v>20</v>
      </c>
      <c r="L218" s="11">
        <v>10</v>
      </c>
      <c r="M218" s="11">
        <v>20</v>
      </c>
      <c r="N218" s="11">
        <f>Tabela1[[#This Row],[EA Play Season Pass
Price]]+Tabela1[[#This Row],[Minecraft Season Pass Price]]</f>
        <v>20</v>
      </c>
    </row>
    <row r="219" spans="1:14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>
        <v>0</v>
      </c>
      <c r="J219" s="8" t="s">
        <v>23</v>
      </c>
      <c r="K219" s="11">
        <v>0</v>
      </c>
      <c r="L219" s="11">
        <v>0</v>
      </c>
      <c r="M219" s="11">
        <v>5</v>
      </c>
      <c r="N219" s="11">
        <f>Tabela1[[#This Row],[EA Play Season Pass
Price]]+Tabela1[[#This Row],[Minecraft Season Pass Price]]</f>
        <v>0</v>
      </c>
    </row>
    <row r="220" spans="1:14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  <c r="N220" s="11">
        <f>Tabela1[[#This Row],[EA Play Season Pass
Price]]+Tabela1[[#This Row],[Minecraft Season Pass Price]]</f>
        <v>50</v>
      </c>
    </row>
    <row r="221" spans="1:14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>
        <v>0</v>
      </c>
      <c r="J221" s="8" t="s">
        <v>19</v>
      </c>
      <c r="K221" s="11">
        <v>20</v>
      </c>
      <c r="L221" s="11">
        <v>15</v>
      </c>
      <c r="M221" s="11">
        <v>15</v>
      </c>
      <c r="N221" s="11">
        <f>Tabela1[[#This Row],[EA Play Season Pass
Price]]+Tabela1[[#This Row],[Minecraft Season Pass Price]]</f>
        <v>20</v>
      </c>
    </row>
    <row r="222" spans="1:14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>
        <v>0</v>
      </c>
      <c r="J222" s="8" t="s">
        <v>23</v>
      </c>
      <c r="K222" s="11">
        <v>0</v>
      </c>
      <c r="L222" s="11">
        <v>1</v>
      </c>
      <c r="M222" s="11">
        <v>4</v>
      </c>
      <c r="N222" s="11">
        <f>Tabela1[[#This Row],[EA Play Season Pass
Price]]+Tabela1[[#This Row],[Minecraft Season Pass Price]]</f>
        <v>0</v>
      </c>
    </row>
    <row r="223" spans="1:14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  <c r="N223" s="11">
        <f>Tabela1[[#This Row],[EA Play Season Pass
Price]]+Tabela1[[#This Row],[Minecraft Season Pass Price]]</f>
        <v>50</v>
      </c>
    </row>
    <row r="224" spans="1:14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>
        <v>0</v>
      </c>
      <c r="J224" s="8" t="s">
        <v>19</v>
      </c>
      <c r="K224" s="11">
        <v>20</v>
      </c>
      <c r="L224" s="11">
        <v>10</v>
      </c>
      <c r="M224" s="11">
        <v>20</v>
      </c>
      <c r="N224" s="11">
        <f>Tabela1[[#This Row],[EA Play Season Pass
Price]]+Tabela1[[#This Row],[Minecraft Season Pass Price]]</f>
        <v>20</v>
      </c>
    </row>
    <row r="225" spans="1:14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>
        <v>0</v>
      </c>
      <c r="J225" s="8" t="s">
        <v>23</v>
      </c>
      <c r="K225" s="11">
        <v>0</v>
      </c>
      <c r="L225" s="11">
        <v>0</v>
      </c>
      <c r="M225" s="11">
        <v>5</v>
      </c>
      <c r="N225" s="11">
        <f>Tabela1[[#This Row],[EA Play Season Pass
Price]]+Tabela1[[#This Row],[Minecraft Season Pass Price]]</f>
        <v>0</v>
      </c>
    </row>
    <row r="226" spans="1:14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  <c r="N226" s="11">
        <f>Tabela1[[#This Row],[EA Play Season Pass
Price]]+Tabela1[[#This Row],[Minecraft Season Pass Price]]</f>
        <v>50</v>
      </c>
    </row>
    <row r="227" spans="1:14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>
        <v>0</v>
      </c>
      <c r="J227" s="8" t="s">
        <v>19</v>
      </c>
      <c r="K227" s="11">
        <v>20</v>
      </c>
      <c r="L227" s="11">
        <v>15</v>
      </c>
      <c r="M227" s="11">
        <v>15</v>
      </c>
      <c r="N227" s="11">
        <f>Tabela1[[#This Row],[EA Play Season Pass
Price]]+Tabela1[[#This Row],[Minecraft Season Pass Price]]</f>
        <v>20</v>
      </c>
    </row>
    <row r="228" spans="1:14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>
        <v>0</v>
      </c>
      <c r="J228" s="8" t="s">
        <v>23</v>
      </c>
      <c r="K228" s="11">
        <v>0</v>
      </c>
      <c r="L228" s="11">
        <v>1</v>
      </c>
      <c r="M228" s="11">
        <v>4</v>
      </c>
      <c r="N228" s="11">
        <f>Tabela1[[#This Row],[EA Play Season Pass
Price]]+Tabela1[[#This Row],[Minecraft Season Pass Price]]</f>
        <v>0</v>
      </c>
    </row>
    <row r="229" spans="1:14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  <c r="N229" s="11">
        <f>Tabela1[[#This Row],[EA Play Season Pass
Price]]+Tabela1[[#This Row],[Minecraft Season Pass Price]]</f>
        <v>50</v>
      </c>
    </row>
    <row r="230" spans="1:14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>
        <v>0</v>
      </c>
      <c r="J230" s="8" t="s">
        <v>19</v>
      </c>
      <c r="K230" s="11">
        <v>20</v>
      </c>
      <c r="L230" s="11">
        <v>10</v>
      </c>
      <c r="M230" s="11">
        <v>20</v>
      </c>
      <c r="N230" s="11">
        <f>Tabela1[[#This Row],[EA Play Season Pass
Price]]+Tabela1[[#This Row],[Minecraft Season Pass Price]]</f>
        <v>20</v>
      </c>
    </row>
    <row r="231" spans="1:14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>
        <v>0</v>
      </c>
      <c r="J231" s="8" t="s">
        <v>23</v>
      </c>
      <c r="K231" s="11">
        <v>0</v>
      </c>
      <c r="L231" s="11">
        <v>0</v>
      </c>
      <c r="M231" s="11">
        <v>5</v>
      </c>
      <c r="N231" s="11">
        <f>Tabela1[[#This Row],[EA Play Season Pass
Price]]+Tabela1[[#This Row],[Minecraft Season Pass Price]]</f>
        <v>0</v>
      </c>
    </row>
    <row r="232" spans="1:14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  <c r="N232" s="11">
        <f>Tabela1[[#This Row],[EA Play Season Pass
Price]]+Tabela1[[#This Row],[Minecraft Season Pass Price]]</f>
        <v>50</v>
      </c>
    </row>
    <row r="233" spans="1:14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>
        <v>0</v>
      </c>
      <c r="J233" s="8" t="s">
        <v>19</v>
      </c>
      <c r="K233" s="11">
        <v>20</v>
      </c>
      <c r="L233" s="11">
        <v>15</v>
      </c>
      <c r="M233" s="11">
        <v>15</v>
      </c>
      <c r="N233" s="11">
        <f>Tabela1[[#This Row],[EA Play Season Pass
Price]]+Tabela1[[#This Row],[Minecraft Season Pass Price]]</f>
        <v>20</v>
      </c>
    </row>
    <row r="234" spans="1:14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>
        <v>0</v>
      </c>
      <c r="J234" s="8" t="s">
        <v>23</v>
      </c>
      <c r="K234" s="11">
        <v>0</v>
      </c>
      <c r="L234" s="11">
        <v>1</v>
      </c>
      <c r="M234" s="11">
        <v>4</v>
      </c>
      <c r="N234" s="11">
        <f>Tabela1[[#This Row],[EA Play Season Pass
Price]]+Tabela1[[#This Row],[Minecraft Season Pass Price]]</f>
        <v>0</v>
      </c>
    </row>
    <row r="235" spans="1:14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  <c r="N235" s="11">
        <f>Tabela1[[#This Row],[EA Play Season Pass
Price]]+Tabela1[[#This Row],[Minecraft Season Pass Price]]</f>
        <v>50</v>
      </c>
    </row>
    <row r="236" spans="1:14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>
        <v>0</v>
      </c>
      <c r="J236" s="8" t="s">
        <v>19</v>
      </c>
      <c r="K236" s="11">
        <v>20</v>
      </c>
      <c r="L236" s="11">
        <v>10</v>
      </c>
      <c r="M236" s="11">
        <v>20</v>
      </c>
      <c r="N236" s="11">
        <f>Tabela1[[#This Row],[EA Play Season Pass
Price]]+Tabela1[[#This Row],[Minecraft Season Pass Price]]</f>
        <v>20</v>
      </c>
    </row>
    <row r="237" spans="1:14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>
        <v>0</v>
      </c>
      <c r="J237" s="8" t="s">
        <v>23</v>
      </c>
      <c r="K237" s="11">
        <v>0</v>
      </c>
      <c r="L237" s="11">
        <v>0</v>
      </c>
      <c r="M237" s="11">
        <v>5</v>
      </c>
      <c r="N237" s="11">
        <f>Tabela1[[#This Row],[EA Play Season Pass
Price]]+Tabela1[[#This Row],[Minecraft Season Pass Price]]</f>
        <v>0</v>
      </c>
    </row>
    <row r="238" spans="1:14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  <c r="N238" s="11">
        <f>Tabela1[[#This Row],[EA Play Season Pass
Price]]+Tabela1[[#This Row],[Minecraft Season Pass Price]]</f>
        <v>50</v>
      </c>
    </row>
    <row r="239" spans="1:14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>
        <v>0</v>
      </c>
      <c r="J239" s="8" t="s">
        <v>19</v>
      </c>
      <c r="K239" s="11">
        <v>20</v>
      </c>
      <c r="L239" s="11">
        <v>12</v>
      </c>
      <c r="M239" s="11">
        <v>18</v>
      </c>
      <c r="N239" s="11">
        <f>Tabela1[[#This Row],[EA Play Season Pass
Price]]+Tabela1[[#This Row],[Minecraft Season Pass Price]]</f>
        <v>20</v>
      </c>
    </row>
    <row r="240" spans="1:14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>
        <v>0</v>
      </c>
      <c r="J240" s="8" t="s">
        <v>23</v>
      </c>
      <c r="K240" s="11">
        <v>0</v>
      </c>
      <c r="L240" s="11">
        <v>2</v>
      </c>
      <c r="M240" s="11">
        <v>3</v>
      </c>
      <c r="N240" s="11">
        <f>Tabela1[[#This Row],[EA Play Season Pass
Price]]+Tabela1[[#This Row],[Minecraft Season Pass Price]]</f>
        <v>0</v>
      </c>
    </row>
    <row r="241" spans="1:14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  <c r="N241" s="11">
        <f>Tabela1[[#This Row],[EA Play Season Pass
Price]]+Tabela1[[#This Row],[Minecraft Season Pass Price]]</f>
        <v>50</v>
      </c>
    </row>
    <row r="242" spans="1:14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>
        <v>0</v>
      </c>
      <c r="J242" s="8" t="s">
        <v>19</v>
      </c>
      <c r="K242" s="11">
        <v>20</v>
      </c>
      <c r="L242" s="11">
        <v>10</v>
      </c>
      <c r="M242" s="11">
        <v>20</v>
      </c>
      <c r="N242" s="11">
        <f>Tabela1[[#This Row],[EA Play Season Pass
Price]]+Tabela1[[#This Row],[Minecraft Season Pass Price]]</f>
        <v>20</v>
      </c>
    </row>
    <row r="243" spans="1:14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>
        <v>0</v>
      </c>
      <c r="J243" s="8" t="s">
        <v>23</v>
      </c>
      <c r="K243" s="11">
        <v>0</v>
      </c>
      <c r="L243" s="11">
        <v>0</v>
      </c>
      <c r="M243" s="11">
        <v>5</v>
      </c>
      <c r="N243" s="11">
        <f>Tabela1[[#This Row],[EA Play Season Pass
Price]]+Tabela1[[#This Row],[Minecraft Season Pass Price]]</f>
        <v>0</v>
      </c>
    </row>
    <row r="244" spans="1:14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  <c r="N244" s="11">
        <f>Tabela1[[#This Row],[EA Play Season Pass
Price]]+Tabela1[[#This Row],[Minecraft Season Pass Price]]</f>
        <v>50</v>
      </c>
    </row>
    <row r="245" spans="1:14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>
        <v>0</v>
      </c>
      <c r="J245" s="8" t="s">
        <v>19</v>
      </c>
      <c r="K245" s="11">
        <v>20</v>
      </c>
      <c r="L245" s="11">
        <v>15</v>
      </c>
      <c r="M245" s="11">
        <v>15</v>
      </c>
      <c r="N245" s="11">
        <f>Tabela1[[#This Row],[EA Play Season Pass
Price]]+Tabela1[[#This Row],[Minecraft Season Pass Price]]</f>
        <v>20</v>
      </c>
    </row>
    <row r="246" spans="1:14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>
        <v>0</v>
      </c>
      <c r="J246" s="8" t="s">
        <v>23</v>
      </c>
      <c r="K246" s="11">
        <v>0</v>
      </c>
      <c r="L246" s="11">
        <v>1</v>
      </c>
      <c r="M246" s="11">
        <v>4</v>
      </c>
      <c r="N246" s="11">
        <f>Tabela1[[#This Row],[EA Play Season Pass
Price]]+Tabela1[[#This Row],[Minecraft Season Pass Price]]</f>
        <v>0</v>
      </c>
    </row>
    <row r="247" spans="1:14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  <c r="N247" s="11">
        <f>Tabela1[[#This Row],[EA Play Season Pass
Price]]+Tabela1[[#This Row],[Minecraft Season Pass Price]]</f>
        <v>50</v>
      </c>
    </row>
    <row r="248" spans="1:14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>
        <v>0</v>
      </c>
      <c r="J248" s="8" t="s">
        <v>19</v>
      </c>
      <c r="K248" s="11">
        <v>20</v>
      </c>
      <c r="L248" s="11">
        <v>10</v>
      </c>
      <c r="M248" s="11">
        <v>20</v>
      </c>
      <c r="N248" s="11">
        <f>Tabela1[[#This Row],[EA Play Season Pass
Price]]+Tabela1[[#This Row],[Minecraft Season Pass Price]]</f>
        <v>20</v>
      </c>
    </row>
    <row r="249" spans="1:14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>
        <v>0</v>
      </c>
      <c r="J249" s="8" t="s">
        <v>23</v>
      </c>
      <c r="K249" s="11">
        <v>0</v>
      </c>
      <c r="L249" s="11">
        <v>0</v>
      </c>
      <c r="M249" s="11">
        <v>5</v>
      </c>
      <c r="N249" s="11">
        <f>Tabela1[[#This Row],[EA Play Season Pass
Price]]+Tabela1[[#This Row],[Minecraft Season Pass Price]]</f>
        <v>0</v>
      </c>
    </row>
    <row r="250" spans="1:14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  <c r="N250" s="11">
        <f>Tabela1[[#This Row],[EA Play Season Pass
Price]]+Tabela1[[#This Row],[Minecraft Season Pass Price]]</f>
        <v>50</v>
      </c>
    </row>
    <row r="251" spans="1:14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>
        <v>0</v>
      </c>
      <c r="J251" s="8" t="s">
        <v>19</v>
      </c>
      <c r="K251" s="11">
        <v>20</v>
      </c>
      <c r="L251" s="11">
        <v>15</v>
      </c>
      <c r="M251" s="11">
        <v>15</v>
      </c>
      <c r="N251" s="11">
        <f>Tabela1[[#This Row],[EA Play Season Pass
Price]]+Tabela1[[#This Row],[Minecraft Season Pass Price]]</f>
        <v>20</v>
      </c>
    </row>
    <row r="252" spans="1:14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>
        <v>0</v>
      </c>
      <c r="J252" s="8" t="s">
        <v>23</v>
      </c>
      <c r="K252" s="11">
        <v>0</v>
      </c>
      <c r="L252" s="11">
        <v>1</v>
      </c>
      <c r="M252" s="11">
        <v>4</v>
      </c>
      <c r="N252" s="11">
        <f>Tabela1[[#This Row],[EA Play Season Pass
Price]]+Tabela1[[#This Row],[Minecraft Season Pass Price]]</f>
        <v>0</v>
      </c>
    </row>
    <row r="253" spans="1:14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  <c r="N253" s="11">
        <f>Tabela1[[#This Row],[EA Play Season Pass
Price]]+Tabela1[[#This Row],[Minecraft Season Pass Price]]</f>
        <v>50</v>
      </c>
    </row>
    <row r="254" spans="1:14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>
        <v>0</v>
      </c>
      <c r="J254" s="8" t="s">
        <v>19</v>
      </c>
      <c r="K254" s="11">
        <v>20</v>
      </c>
      <c r="L254" s="11">
        <v>10</v>
      </c>
      <c r="M254" s="11">
        <v>20</v>
      </c>
      <c r="N254" s="11">
        <f>Tabela1[[#This Row],[EA Play Season Pass
Price]]+Tabela1[[#This Row],[Minecraft Season Pass Price]]</f>
        <v>20</v>
      </c>
    </row>
    <row r="255" spans="1:14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>
        <v>0</v>
      </c>
      <c r="J255" s="8" t="s">
        <v>23</v>
      </c>
      <c r="K255" s="11">
        <v>0</v>
      </c>
      <c r="L255" s="11">
        <v>0</v>
      </c>
      <c r="M255" s="11">
        <v>5</v>
      </c>
      <c r="N255" s="11">
        <f>Tabela1[[#This Row],[EA Play Season Pass
Price]]+Tabela1[[#This Row],[Minecraft Season Pass Price]]</f>
        <v>0</v>
      </c>
    </row>
    <row r="256" spans="1:14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  <c r="N256" s="11">
        <f>Tabela1[[#This Row],[EA Play Season Pass
Price]]+Tabela1[[#This Row],[Minecraft Season Pass Price]]</f>
        <v>50</v>
      </c>
    </row>
    <row r="257" spans="1:14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>
        <v>0</v>
      </c>
      <c r="J257" s="8" t="s">
        <v>23</v>
      </c>
      <c r="K257" s="11">
        <v>0</v>
      </c>
      <c r="L257" s="11">
        <v>0</v>
      </c>
      <c r="M257" s="11">
        <v>5</v>
      </c>
      <c r="N257" s="11">
        <f>Tabela1[[#This Row],[EA Play Season Pass
Price]]+Tabela1[[#This Row],[Minecraft Season Pass Price]]</f>
        <v>0</v>
      </c>
    </row>
    <row r="258" spans="1:14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  <c r="N258" s="11">
        <f>Tabela1[[#This Row],[EA Play Season Pass
Price]]+Tabela1[[#This Row],[Minecraft Season Pass Price]]</f>
        <v>50</v>
      </c>
    </row>
    <row r="259" spans="1:14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>
        <v>0</v>
      </c>
      <c r="J259" s="8" t="s">
        <v>19</v>
      </c>
      <c r="K259" s="11">
        <v>20</v>
      </c>
      <c r="L259" s="11">
        <v>10</v>
      </c>
      <c r="M259" s="11">
        <v>20</v>
      </c>
      <c r="N259" s="11">
        <f>Tabela1[[#This Row],[EA Play Season Pass
Price]]+Tabela1[[#This Row],[Minecraft Season Pass Price]]</f>
        <v>20</v>
      </c>
    </row>
    <row r="260" spans="1:14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>
        <v>0</v>
      </c>
      <c r="J260" s="8" t="s">
        <v>23</v>
      </c>
      <c r="K260" s="11">
        <v>0</v>
      </c>
      <c r="L260" s="11">
        <v>1</v>
      </c>
      <c r="M260" s="11">
        <v>4</v>
      </c>
      <c r="N260" s="11">
        <f>Tabela1[[#This Row],[EA Play Season Pass
Price]]+Tabela1[[#This Row],[Minecraft Season Pass Price]]</f>
        <v>0</v>
      </c>
    </row>
    <row r="261" spans="1:14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  <c r="N261" s="11">
        <f>Tabela1[[#This Row],[EA Play Season Pass
Price]]+Tabela1[[#This Row],[Minecraft Season Pass Price]]</f>
        <v>50</v>
      </c>
    </row>
    <row r="262" spans="1:14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>
        <v>0</v>
      </c>
      <c r="J262" s="8" t="s">
        <v>19</v>
      </c>
      <c r="K262" s="11">
        <v>20</v>
      </c>
      <c r="L262" s="11">
        <v>5</v>
      </c>
      <c r="M262" s="11">
        <v>25</v>
      </c>
      <c r="N262" s="11">
        <f>Tabela1[[#This Row],[EA Play Season Pass
Price]]+Tabela1[[#This Row],[Minecraft Season Pass Price]]</f>
        <v>20</v>
      </c>
    </row>
    <row r="263" spans="1:14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>
        <v>0</v>
      </c>
      <c r="J263" s="8" t="s">
        <v>23</v>
      </c>
      <c r="K263" s="11">
        <v>0</v>
      </c>
      <c r="L263" s="11">
        <v>0</v>
      </c>
      <c r="M263" s="11">
        <v>5</v>
      </c>
      <c r="N263" s="11">
        <f>Tabela1[[#This Row],[EA Play Season Pass
Price]]+Tabela1[[#This Row],[Minecraft Season Pass Price]]</f>
        <v>0</v>
      </c>
    </row>
    <row r="264" spans="1:14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  <c r="N264" s="11">
        <f>Tabela1[[#This Row],[EA Play Season Pass
Price]]+Tabela1[[#This Row],[Minecraft Season Pass Price]]</f>
        <v>50</v>
      </c>
    </row>
    <row r="265" spans="1:14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>
        <v>0</v>
      </c>
      <c r="J265" s="8" t="s">
        <v>19</v>
      </c>
      <c r="K265" s="11">
        <v>20</v>
      </c>
      <c r="L265" s="11">
        <v>12</v>
      </c>
      <c r="M265" s="11">
        <v>18</v>
      </c>
      <c r="N265" s="11">
        <f>Tabela1[[#This Row],[EA Play Season Pass
Price]]+Tabela1[[#This Row],[Minecraft Season Pass Price]]</f>
        <v>20</v>
      </c>
    </row>
    <row r="266" spans="1:14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>
        <v>0</v>
      </c>
      <c r="J266" s="8" t="s">
        <v>23</v>
      </c>
      <c r="K266" s="11">
        <v>0</v>
      </c>
      <c r="L266" s="11">
        <v>2</v>
      </c>
      <c r="M266" s="11">
        <v>3</v>
      </c>
      <c r="N266" s="11">
        <f>Tabela1[[#This Row],[EA Play Season Pass
Price]]+Tabela1[[#This Row],[Minecraft Season Pass Price]]</f>
        <v>0</v>
      </c>
    </row>
    <row r="267" spans="1:14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  <c r="N267" s="11">
        <f>Tabela1[[#This Row],[EA Play Season Pass
Price]]+Tabela1[[#This Row],[Minecraft Season Pass Price]]</f>
        <v>50</v>
      </c>
    </row>
    <row r="268" spans="1:14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>
        <v>0</v>
      </c>
      <c r="J268" s="8" t="s">
        <v>19</v>
      </c>
      <c r="K268" s="11">
        <v>20</v>
      </c>
      <c r="L268" s="11">
        <v>10</v>
      </c>
      <c r="M268" s="11">
        <v>20</v>
      </c>
      <c r="N268" s="11">
        <f>Tabela1[[#This Row],[EA Play Season Pass
Price]]+Tabela1[[#This Row],[Minecraft Season Pass Price]]</f>
        <v>20</v>
      </c>
    </row>
    <row r="269" spans="1:14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>
        <v>0</v>
      </c>
      <c r="J269" s="8" t="s">
        <v>23</v>
      </c>
      <c r="K269" s="11">
        <v>0</v>
      </c>
      <c r="L269" s="11">
        <v>0</v>
      </c>
      <c r="M269" s="11">
        <v>5</v>
      </c>
      <c r="N269" s="11">
        <f>Tabela1[[#This Row],[EA Play Season Pass
Price]]+Tabela1[[#This Row],[Minecraft Season Pass Price]]</f>
        <v>0</v>
      </c>
    </row>
    <row r="270" spans="1:14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  <c r="N270" s="11">
        <f>Tabela1[[#This Row],[EA Play Season Pass
Price]]+Tabela1[[#This Row],[Minecraft Season Pass Price]]</f>
        <v>50</v>
      </c>
    </row>
    <row r="271" spans="1:14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>
        <v>0</v>
      </c>
      <c r="J271" s="8" t="s">
        <v>19</v>
      </c>
      <c r="K271" s="11">
        <v>20</v>
      </c>
      <c r="L271" s="11">
        <v>15</v>
      </c>
      <c r="M271" s="11">
        <v>15</v>
      </c>
      <c r="N271" s="11">
        <f>Tabela1[[#This Row],[EA Play Season Pass
Price]]+Tabela1[[#This Row],[Minecraft Season Pass Price]]</f>
        <v>20</v>
      </c>
    </row>
    <row r="272" spans="1:14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>
        <v>0</v>
      </c>
      <c r="J272" s="8" t="s">
        <v>23</v>
      </c>
      <c r="K272" s="11">
        <v>0</v>
      </c>
      <c r="L272" s="11">
        <v>1</v>
      </c>
      <c r="M272" s="11">
        <v>4</v>
      </c>
      <c r="N272" s="11">
        <f>Tabela1[[#This Row],[EA Play Season Pass
Price]]+Tabela1[[#This Row],[Minecraft Season Pass Price]]</f>
        <v>0</v>
      </c>
    </row>
    <row r="273" spans="1:14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  <c r="N273" s="11">
        <f>Tabela1[[#This Row],[EA Play Season Pass
Price]]+Tabela1[[#This Row],[Minecraft Season Pass Price]]</f>
        <v>50</v>
      </c>
    </row>
    <row r="274" spans="1:14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>
        <v>0</v>
      </c>
      <c r="J274" s="8" t="s">
        <v>19</v>
      </c>
      <c r="K274" s="11">
        <v>20</v>
      </c>
      <c r="L274" s="11">
        <v>10</v>
      </c>
      <c r="M274" s="11">
        <v>20</v>
      </c>
      <c r="N274" s="11">
        <f>Tabela1[[#This Row],[EA Play Season Pass
Price]]+Tabela1[[#This Row],[Minecraft Season Pass Price]]</f>
        <v>20</v>
      </c>
    </row>
    <row r="275" spans="1:14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>
        <v>0</v>
      </c>
      <c r="J275" s="8" t="s">
        <v>23</v>
      </c>
      <c r="K275" s="11">
        <v>0</v>
      </c>
      <c r="L275" s="11">
        <v>0</v>
      </c>
      <c r="M275" s="11">
        <v>5</v>
      </c>
      <c r="N275" s="11">
        <f>Tabela1[[#This Row],[EA Play Season Pass
Price]]+Tabela1[[#This Row],[Minecraft Season Pass Price]]</f>
        <v>0</v>
      </c>
    </row>
    <row r="276" spans="1:14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  <c r="N276" s="11">
        <f>Tabela1[[#This Row],[EA Play Season Pass
Price]]+Tabela1[[#This Row],[Minecraft Season Pass Price]]</f>
        <v>50</v>
      </c>
    </row>
    <row r="277" spans="1:14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>
        <v>0</v>
      </c>
      <c r="J277" s="8" t="s">
        <v>19</v>
      </c>
      <c r="K277" s="11">
        <v>20</v>
      </c>
      <c r="L277" s="11">
        <v>15</v>
      </c>
      <c r="M277" s="11">
        <v>15</v>
      </c>
      <c r="N277" s="11">
        <f>Tabela1[[#This Row],[EA Play Season Pass
Price]]+Tabela1[[#This Row],[Minecraft Season Pass Price]]</f>
        <v>20</v>
      </c>
    </row>
    <row r="278" spans="1:14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>
        <v>0</v>
      </c>
      <c r="J278" s="8" t="s">
        <v>23</v>
      </c>
      <c r="K278" s="11">
        <v>0</v>
      </c>
      <c r="L278" s="11">
        <v>1</v>
      </c>
      <c r="M278" s="11">
        <v>4</v>
      </c>
      <c r="N278" s="11">
        <f>Tabela1[[#This Row],[EA Play Season Pass
Price]]+Tabela1[[#This Row],[Minecraft Season Pass Price]]</f>
        <v>0</v>
      </c>
    </row>
    <row r="279" spans="1:14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  <c r="N279" s="11">
        <f>Tabela1[[#This Row],[EA Play Season Pass
Price]]+Tabela1[[#This Row],[Minecraft Season Pass Price]]</f>
        <v>50</v>
      </c>
    </row>
    <row r="280" spans="1:14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>
        <v>0</v>
      </c>
      <c r="J280" s="8" t="s">
        <v>19</v>
      </c>
      <c r="K280" s="11">
        <v>20</v>
      </c>
      <c r="L280" s="11">
        <v>10</v>
      </c>
      <c r="M280" s="11">
        <v>20</v>
      </c>
      <c r="N280" s="11">
        <f>Tabela1[[#This Row],[EA Play Season Pass
Price]]+Tabela1[[#This Row],[Minecraft Season Pass Price]]</f>
        <v>20</v>
      </c>
    </row>
    <row r="281" spans="1:14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>
        <v>0</v>
      </c>
      <c r="J281" s="8" t="s">
        <v>23</v>
      </c>
      <c r="K281" s="11">
        <v>0</v>
      </c>
      <c r="L281" s="11">
        <v>0</v>
      </c>
      <c r="M281" s="11">
        <v>5</v>
      </c>
      <c r="N281" s="11">
        <f>Tabela1[[#This Row],[EA Play Season Pass
Price]]+Tabela1[[#This Row],[Minecraft Season Pass Price]]</f>
        <v>0</v>
      </c>
    </row>
    <row r="282" spans="1:14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  <c r="N282" s="11">
        <f>Tabela1[[#This Row],[EA Play Season Pass
Price]]+Tabela1[[#This Row],[Minecraft Season Pass Price]]</f>
        <v>50</v>
      </c>
    </row>
    <row r="283" spans="1:14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>
        <v>0</v>
      </c>
      <c r="J283" s="8" t="s">
        <v>19</v>
      </c>
      <c r="K283" s="11">
        <v>20</v>
      </c>
      <c r="L283" s="11">
        <v>15</v>
      </c>
      <c r="M283" s="11">
        <v>15</v>
      </c>
      <c r="N283" s="11">
        <f>Tabela1[[#This Row],[EA Play Season Pass
Price]]+Tabela1[[#This Row],[Minecraft Season Pass Price]]</f>
        <v>20</v>
      </c>
    </row>
    <row r="284" spans="1:14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>
        <v>0</v>
      </c>
      <c r="J284" s="8" t="s">
        <v>23</v>
      </c>
      <c r="K284" s="11">
        <v>0</v>
      </c>
      <c r="L284" s="11">
        <v>1</v>
      </c>
      <c r="M284" s="11">
        <v>4</v>
      </c>
      <c r="N284" s="11">
        <f>Tabela1[[#This Row],[EA Play Season Pass
Price]]+Tabela1[[#This Row],[Minecraft Season Pass Price]]</f>
        <v>0</v>
      </c>
    </row>
    <row r="285" spans="1:14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  <c r="N285" s="11">
        <f>Tabela1[[#This Row],[EA Play Season Pass
Price]]+Tabela1[[#This Row],[Minecraft Season Pass Price]]</f>
        <v>50</v>
      </c>
    </row>
    <row r="286" spans="1:14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>
        <v>0</v>
      </c>
      <c r="J286" s="8" t="s">
        <v>19</v>
      </c>
      <c r="K286" s="11">
        <v>20</v>
      </c>
      <c r="L286" s="11">
        <v>10</v>
      </c>
      <c r="M286" s="11">
        <v>20</v>
      </c>
      <c r="N286" s="11">
        <f>Tabela1[[#This Row],[EA Play Season Pass
Price]]+Tabela1[[#This Row],[Minecraft Season Pass Price]]</f>
        <v>20</v>
      </c>
    </row>
    <row r="287" spans="1:14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>
        <v>0</v>
      </c>
      <c r="J287" s="8" t="s">
        <v>23</v>
      </c>
      <c r="K287" s="11">
        <v>0</v>
      </c>
      <c r="L287" s="11">
        <v>0</v>
      </c>
      <c r="M287" s="11">
        <v>5</v>
      </c>
      <c r="N287" s="11">
        <f>Tabela1[[#This Row],[EA Play Season Pass
Price]]+Tabela1[[#This Row],[Minecraft Season Pass Price]]</f>
        <v>0</v>
      </c>
    </row>
    <row r="288" spans="1:14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  <c r="N288" s="11">
        <f>Tabela1[[#This Row],[EA Play Season Pass
Price]]+Tabela1[[#This Row],[Minecraft Season Pass Price]]</f>
        <v>50</v>
      </c>
    </row>
    <row r="289" spans="1:14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>
        <v>0</v>
      </c>
      <c r="J289" s="8" t="s">
        <v>19</v>
      </c>
      <c r="K289" s="11">
        <v>20</v>
      </c>
      <c r="L289" s="11">
        <v>12</v>
      </c>
      <c r="M289" s="11">
        <v>18</v>
      </c>
      <c r="N289" s="11">
        <f>Tabela1[[#This Row],[EA Play Season Pass
Price]]+Tabela1[[#This Row],[Minecraft Season Pass Price]]</f>
        <v>20</v>
      </c>
    </row>
    <row r="290" spans="1:14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>
        <v>0</v>
      </c>
      <c r="J290" s="8" t="s">
        <v>23</v>
      </c>
      <c r="K290" s="11">
        <v>0</v>
      </c>
      <c r="L290" s="11">
        <v>2</v>
      </c>
      <c r="M290" s="11">
        <v>3</v>
      </c>
      <c r="N290" s="11">
        <f>Tabela1[[#This Row],[EA Play Season Pass
Price]]+Tabela1[[#This Row],[Minecraft Season Pass Price]]</f>
        <v>0</v>
      </c>
    </row>
    <row r="291" spans="1:14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  <c r="N291" s="11">
        <f>Tabela1[[#This Row],[EA Play Season Pass
Price]]+Tabela1[[#This Row],[Minecraft Season Pass Price]]</f>
        <v>50</v>
      </c>
    </row>
    <row r="292" spans="1:14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>
        <v>0</v>
      </c>
      <c r="J292" s="8" t="s">
        <v>19</v>
      </c>
      <c r="K292" s="11">
        <v>20</v>
      </c>
      <c r="L292" s="11">
        <v>10</v>
      </c>
      <c r="M292" s="11">
        <v>20</v>
      </c>
      <c r="N292" s="11">
        <f>Tabela1[[#This Row],[EA Play Season Pass
Price]]+Tabela1[[#This Row],[Minecraft Season Pass Price]]</f>
        <v>20</v>
      </c>
    </row>
    <row r="293" spans="1:14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>
        <v>0</v>
      </c>
      <c r="J293" s="8" t="s">
        <v>23</v>
      </c>
      <c r="K293" s="11">
        <v>0</v>
      </c>
      <c r="L293" s="11">
        <v>0</v>
      </c>
      <c r="M293" s="11">
        <v>5</v>
      </c>
      <c r="N293" s="11">
        <f>Tabela1[[#This Row],[EA Play Season Pass
Price]]+Tabela1[[#This Row],[Minecraft Season Pass Price]]</f>
        <v>0</v>
      </c>
    </row>
    <row r="294" spans="1:14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  <c r="N294" s="11">
        <f>Tabela1[[#This Row],[EA Play Season Pass
Price]]+Tabela1[[#This Row],[Minecraft Season Pass Price]]</f>
        <v>50</v>
      </c>
    </row>
    <row r="295" spans="1:14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>
        <v>0</v>
      </c>
      <c r="J295" s="8" t="s">
        <v>19</v>
      </c>
      <c r="K295" s="11">
        <v>20</v>
      </c>
      <c r="L295" s="11">
        <v>15</v>
      </c>
      <c r="M295" s="11">
        <v>15</v>
      </c>
      <c r="N295" s="11">
        <f>Tabela1[[#This Row],[EA Play Season Pass
Price]]+Tabela1[[#This Row],[Minecraft Season Pass Price]]</f>
        <v>20</v>
      </c>
    </row>
    <row r="296" spans="1:14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>
        <v>0</v>
      </c>
      <c r="J296" s="8" t="s">
        <v>23</v>
      </c>
      <c r="K296" s="11">
        <v>0</v>
      </c>
      <c r="L296" s="11">
        <v>1</v>
      </c>
      <c r="M296" s="11">
        <v>4</v>
      </c>
      <c r="N296" s="11">
        <f>Tabela1[[#This Row],[EA Play Season Pass
Price]]+Tabela1[[#This Row],[Minecraft Season Pass Price]]</f>
        <v>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73"/>
  <sheetViews>
    <sheetView showGridLines="0" topLeftCell="A11" workbookViewId="0">
      <selection activeCell="E71" sqref="E71"/>
    </sheetView>
  </sheetViews>
  <sheetFormatPr defaultRowHeight="15" x14ac:dyDescent="0.25"/>
  <cols>
    <col min="2" max="2" width="26.140625" bestFit="1" customWidth="1"/>
    <col min="3" max="3" width="6.28515625" bestFit="1" customWidth="1"/>
    <col min="4" max="4" width="7.28515625" customWidth="1"/>
    <col min="5" max="5" width="14.42578125" customWidth="1"/>
    <col min="6" max="6" width="7.140625" bestFit="1" customWidth="1"/>
    <col min="7" max="7" width="10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5" t="s">
        <v>312</v>
      </c>
      <c r="C3" s="15"/>
      <c r="D3" s="15"/>
      <c r="E3" s="15"/>
      <c r="F3" s="15"/>
    </row>
    <row r="6" spans="2:6" x14ac:dyDescent="0.25">
      <c r="B6" t="s">
        <v>313</v>
      </c>
    </row>
    <row r="7" spans="2:6" x14ac:dyDescent="0.25">
      <c r="B7" t="s">
        <v>318</v>
      </c>
    </row>
    <row r="9" spans="2:6" x14ac:dyDescent="0.25">
      <c r="B9" s="12" t="s">
        <v>16</v>
      </c>
      <c r="C9" t="s">
        <v>316</v>
      </c>
    </row>
    <row r="11" spans="2:6" x14ac:dyDescent="0.25">
      <c r="B11" s="12" t="s">
        <v>314</v>
      </c>
      <c r="C11" t="s">
        <v>317</v>
      </c>
    </row>
    <row r="12" spans="2:6" x14ac:dyDescent="0.25">
      <c r="B12" s="13" t="s">
        <v>23</v>
      </c>
      <c r="C12" s="14">
        <v>3847</v>
      </c>
    </row>
    <row r="13" spans="2:6" x14ac:dyDescent="0.25">
      <c r="B13" s="13" t="s">
        <v>19</v>
      </c>
      <c r="C13" s="14">
        <v>3786</v>
      </c>
    </row>
    <row r="14" spans="2:6" x14ac:dyDescent="0.25">
      <c r="B14" s="13" t="s">
        <v>315</v>
      </c>
      <c r="C14" s="14">
        <v>7633</v>
      </c>
    </row>
    <row r="17" spans="2:5" x14ac:dyDescent="0.25">
      <c r="B17" t="s">
        <v>320</v>
      </c>
    </row>
    <row r="19" spans="2:5" x14ac:dyDescent="0.25">
      <c r="B19" s="12" t="s">
        <v>16</v>
      </c>
      <c r="C19" t="s">
        <v>316</v>
      </c>
    </row>
    <row r="21" spans="2:5" x14ac:dyDescent="0.25">
      <c r="B21" s="12" t="s">
        <v>314</v>
      </c>
      <c r="C21" t="s">
        <v>321</v>
      </c>
    </row>
    <row r="22" spans="2:5" x14ac:dyDescent="0.25">
      <c r="B22" s="13" t="s">
        <v>22</v>
      </c>
      <c r="C22" s="22">
        <v>0</v>
      </c>
    </row>
    <row r="23" spans="2:5" x14ac:dyDescent="0.25">
      <c r="B23" s="13" t="s">
        <v>26</v>
      </c>
      <c r="C23" s="22">
        <v>0</v>
      </c>
    </row>
    <row r="24" spans="2:5" x14ac:dyDescent="0.25">
      <c r="B24" s="13" t="s">
        <v>18</v>
      </c>
      <c r="C24" s="22">
        <v>2940</v>
      </c>
    </row>
    <row r="25" spans="2:5" x14ac:dyDescent="0.25">
      <c r="B25" s="13" t="s">
        <v>315</v>
      </c>
      <c r="C25" s="22">
        <v>2940</v>
      </c>
      <c r="E25" s="17">
        <f>GETPIVOTDATA("EA Play Season Pass
Price",$B$21)</f>
        <v>2940</v>
      </c>
    </row>
    <row r="28" spans="2:5" x14ac:dyDescent="0.25">
      <c r="B28" t="s">
        <v>322</v>
      </c>
    </row>
    <row r="30" spans="2:5" x14ac:dyDescent="0.25">
      <c r="B30" s="12" t="s">
        <v>16</v>
      </c>
      <c r="C30" t="s">
        <v>316</v>
      </c>
    </row>
    <row r="32" spans="2:5" x14ac:dyDescent="0.25">
      <c r="B32" s="12" t="s">
        <v>314</v>
      </c>
      <c r="C32" t="s">
        <v>323</v>
      </c>
    </row>
    <row r="33" spans="2:5" x14ac:dyDescent="0.25">
      <c r="B33" s="13" t="s">
        <v>22</v>
      </c>
      <c r="C33" s="14">
        <v>0</v>
      </c>
    </row>
    <row r="34" spans="2:5" x14ac:dyDescent="0.25">
      <c r="B34" s="13" t="s">
        <v>26</v>
      </c>
      <c r="C34" s="14">
        <v>1920</v>
      </c>
    </row>
    <row r="35" spans="2:5" x14ac:dyDescent="0.25">
      <c r="B35" s="13" t="s">
        <v>18</v>
      </c>
      <c r="C35" s="14">
        <v>1960</v>
      </c>
    </row>
    <row r="36" spans="2:5" x14ac:dyDescent="0.25">
      <c r="B36" s="13" t="s">
        <v>315</v>
      </c>
      <c r="C36" s="14">
        <v>3880</v>
      </c>
      <c r="E36" s="17">
        <f>GETPIVOTDATA("Minecraft Season Pass Price",$B$32)</f>
        <v>3880</v>
      </c>
    </row>
    <row r="39" spans="2:5" x14ac:dyDescent="0.25">
      <c r="B39" t="s">
        <v>325</v>
      </c>
    </row>
    <row r="41" spans="2:5" x14ac:dyDescent="0.25">
      <c r="B41" s="12" t="s">
        <v>309</v>
      </c>
      <c r="C41" t="s">
        <v>19</v>
      </c>
    </row>
    <row r="43" spans="2:5" x14ac:dyDescent="0.25">
      <c r="B43" t="s">
        <v>324</v>
      </c>
    </row>
    <row r="44" spans="2:5" x14ac:dyDescent="0.25">
      <c r="B44" s="20">
        <v>1</v>
      </c>
    </row>
    <row r="46" spans="2:5" x14ac:dyDescent="0.25">
      <c r="B46" t="s">
        <v>326</v>
      </c>
    </row>
    <row r="48" spans="2:5" x14ac:dyDescent="0.25">
      <c r="B48" s="12" t="s">
        <v>30</v>
      </c>
      <c r="C48" t="s">
        <v>19</v>
      </c>
    </row>
    <row r="50" spans="2:4" x14ac:dyDescent="0.25">
      <c r="B50" t="s">
        <v>324</v>
      </c>
    </row>
    <row r="51" spans="2:4" x14ac:dyDescent="0.25">
      <c r="B51" s="20">
        <v>1</v>
      </c>
    </row>
    <row r="53" spans="2:4" x14ac:dyDescent="0.25">
      <c r="B53" t="s">
        <v>327</v>
      </c>
    </row>
    <row r="55" spans="2:4" x14ac:dyDescent="0.25">
      <c r="B55" t="s">
        <v>329</v>
      </c>
    </row>
    <row r="56" spans="2:4" x14ac:dyDescent="0.25">
      <c r="B56" s="14">
        <v>6820</v>
      </c>
    </row>
    <row r="58" spans="2:4" x14ac:dyDescent="0.25">
      <c r="B58" t="s">
        <v>330</v>
      </c>
    </row>
    <row r="60" spans="2:4" x14ac:dyDescent="0.25">
      <c r="B60" t="s">
        <v>324</v>
      </c>
    </row>
    <row r="61" spans="2:4" x14ac:dyDescent="0.25">
      <c r="B61" s="22">
        <v>295</v>
      </c>
      <c r="D61">
        <f>GETPIVOTDATA("Subscriber ID",$B$60)</f>
        <v>295</v>
      </c>
    </row>
    <row r="63" spans="2:4" x14ac:dyDescent="0.25">
      <c r="B63" t="s">
        <v>335</v>
      </c>
    </row>
    <row r="65" spans="2:5" x14ac:dyDescent="0.25">
      <c r="B65" s="12" t="s">
        <v>314</v>
      </c>
    </row>
    <row r="66" spans="2:5" x14ac:dyDescent="0.25">
      <c r="B66" s="13" t="s">
        <v>23</v>
      </c>
      <c r="C66" s="22"/>
    </row>
    <row r="67" spans="2:5" x14ac:dyDescent="0.25">
      <c r="B67" s="23" t="s">
        <v>324</v>
      </c>
      <c r="C67" s="22">
        <v>147</v>
      </c>
      <c r="E67">
        <f>GETPIVOTDATA("Contagem de Subscriber ID",$B$65,"Auto Renewal","No")</f>
        <v>147</v>
      </c>
    </row>
    <row r="68" spans="2:5" x14ac:dyDescent="0.25">
      <c r="B68" s="23" t="s">
        <v>333</v>
      </c>
      <c r="C68" s="20">
        <v>0.49830508474576274</v>
      </c>
      <c r="E68" s="24">
        <f>GETPIVOTDATA("Contagem de Subscriber ID2",$B$65,"Auto Renewal","No")</f>
        <v>0.49830508474576274</v>
      </c>
    </row>
    <row r="69" spans="2:5" x14ac:dyDescent="0.25">
      <c r="B69" s="13" t="s">
        <v>19</v>
      </c>
      <c r="C69" s="22"/>
    </row>
    <row r="70" spans="2:5" x14ac:dyDescent="0.25">
      <c r="B70" s="23" t="s">
        <v>324</v>
      </c>
      <c r="C70" s="22">
        <v>148</v>
      </c>
      <c r="E70">
        <f>GETPIVOTDATA("Contagem de Subscriber ID",$B$65,"Auto Renewal","Yes")</f>
        <v>148</v>
      </c>
    </row>
    <row r="71" spans="2:5" x14ac:dyDescent="0.25">
      <c r="B71" s="23" t="s">
        <v>333</v>
      </c>
      <c r="C71" s="20">
        <v>0.50169491525423726</v>
      </c>
      <c r="E71" s="24">
        <f>GETPIVOTDATA("Contagem de Subscriber ID2",$B$65,"Auto Renewal","Yes")</f>
        <v>0.50169491525423726</v>
      </c>
    </row>
    <row r="72" spans="2:5" x14ac:dyDescent="0.25">
      <c r="B72" s="13" t="s">
        <v>332</v>
      </c>
      <c r="C72" s="22">
        <v>295</v>
      </c>
    </row>
    <row r="73" spans="2:5" x14ac:dyDescent="0.25">
      <c r="B73" s="13" t="s">
        <v>334</v>
      </c>
      <c r="C73" s="20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9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201"/>
  <sheetViews>
    <sheetView showGridLines="0" showRowColHeaders="0" tabSelected="1" zoomScale="90" zoomScaleNormal="90" workbookViewId="0">
      <selection activeCell="B6" sqref="B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27.7109375" style="4" customWidth="1"/>
    <col min="2" max="2" width="3.5703125" customWidth="1"/>
    <col min="12" max="12" width="6.5703125" customWidth="1"/>
  </cols>
  <sheetData>
    <row r="2" spans="1:19" ht="33.75" customHeight="1" thickBot="1" x14ac:dyDescent="0.5">
      <c r="C2" s="19" t="s">
        <v>319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8.75" customHeight="1" thickTop="1" x14ac:dyDescent="0.25"/>
    <row r="4" spans="1:19" s="7" customFormat="1" ht="1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33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  <row r="162" spans="1:1" s="7" customFormat="1" x14ac:dyDescent="0.25">
      <c r="A162" s="4"/>
    </row>
    <row r="163" spans="1:1" s="7" customFormat="1" x14ac:dyDescent="0.25">
      <c r="A163" s="4"/>
    </row>
    <row r="164" spans="1:1" s="7" customFormat="1" x14ac:dyDescent="0.25">
      <c r="A164" s="4"/>
    </row>
    <row r="165" spans="1:1" s="7" customFormat="1" x14ac:dyDescent="0.25">
      <c r="A165" s="4"/>
    </row>
    <row r="166" spans="1:1" s="7" customFormat="1" x14ac:dyDescent="0.25">
      <c r="A166" s="4"/>
    </row>
    <row r="167" spans="1:1" s="7" customFormat="1" x14ac:dyDescent="0.25">
      <c r="A167" s="4"/>
    </row>
    <row r="168" spans="1:1" s="7" customFormat="1" x14ac:dyDescent="0.25">
      <c r="A168" s="4"/>
    </row>
    <row r="169" spans="1:1" s="7" customFormat="1" x14ac:dyDescent="0.25">
      <c r="A169" s="4"/>
    </row>
    <row r="170" spans="1:1" s="7" customFormat="1" x14ac:dyDescent="0.25">
      <c r="A170" s="4"/>
    </row>
    <row r="171" spans="1:1" s="7" customFormat="1" x14ac:dyDescent="0.25">
      <c r="A171" s="4"/>
    </row>
    <row r="172" spans="1:1" s="7" customFormat="1" x14ac:dyDescent="0.25">
      <c r="A172" s="4"/>
    </row>
    <row r="173" spans="1:1" s="7" customFormat="1" x14ac:dyDescent="0.25">
      <c r="A173" s="4"/>
    </row>
    <row r="174" spans="1:1" s="7" customFormat="1" x14ac:dyDescent="0.25">
      <c r="A174" s="4"/>
    </row>
    <row r="175" spans="1:1" s="7" customFormat="1" x14ac:dyDescent="0.25">
      <c r="A175" s="4"/>
    </row>
    <row r="176" spans="1:1" s="7" customFormat="1" x14ac:dyDescent="0.25">
      <c r="A176" s="4"/>
    </row>
    <row r="177" spans="1:1" s="7" customFormat="1" x14ac:dyDescent="0.25">
      <c r="A177" s="4"/>
    </row>
    <row r="178" spans="1:1" s="7" customFormat="1" x14ac:dyDescent="0.25">
      <c r="A178" s="4"/>
    </row>
    <row r="179" spans="1:1" s="7" customFormat="1" x14ac:dyDescent="0.25">
      <c r="A179" s="4"/>
    </row>
    <row r="180" spans="1:1" s="7" customFormat="1" x14ac:dyDescent="0.25">
      <c r="A180" s="4"/>
    </row>
    <row r="181" spans="1:1" s="7" customFormat="1" x14ac:dyDescent="0.25">
      <c r="A181" s="4"/>
    </row>
    <row r="182" spans="1:1" s="7" customFormat="1" x14ac:dyDescent="0.25">
      <c r="A182" s="4"/>
    </row>
    <row r="183" spans="1:1" s="7" customFormat="1" x14ac:dyDescent="0.25">
      <c r="A183" s="4"/>
    </row>
    <row r="184" spans="1:1" s="7" customFormat="1" x14ac:dyDescent="0.25">
      <c r="A184" s="4"/>
    </row>
    <row r="185" spans="1:1" s="7" customFormat="1" x14ac:dyDescent="0.25">
      <c r="A185" s="4"/>
    </row>
    <row r="186" spans="1:1" s="7" customFormat="1" x14ac:dyDescent="0.25">
      <c r="A186" s="4"/>
    </row>
    <row r="187" spans="1:1" s="7" customFormat="1" x14ac:dyDescent="0.25">
      <c r="A187" s="4"/>
    </row>
    <row r="188" spans="1:1" s="7" customFormat="1" x14ac:dyDescent="0.25">
      <c r="A188" s="4"/>
    </row>
    <row r="189" spans="1:1" s="7" customFormat="1" x14ac:dyDescent="0.25">
      <c r="A189" s="4"/>
    </row>
    <row r="190" spans="1:1" s="7" customFormat="1" x14ac:dyDescent="0.25">
      <c r="A190" s="4"/>
    </row>
    <row r="191" spans="1:1" s="7" customFormat="1" x14ac:dyDescent="0.25">
      <c r="A191" s="4"/>
    </row>
    <row r="192" spans="1:1" s="7" customFormat="1" x14ac:dyDescent="0.25">
      <c r="A192" s="4"/>
    </row>
    <row r="193" spans="1:1" s="7" customFormat="1" x14ac:dyDescent="0.25">
      <c r="A193" s="4"/>
    </row>
    <row r="194" spans="1:1" s="7" customFormat="1" x14ac:dyDescent="0.25">
      <c r="A194" s="4"/>
    </row>
    <row r="195" spans="1:1" s="7" customFormat="1" x14ac:dyDescent="0.25">
      <c r="A195" s="4"/>
    </row>
    <row r="196" spans="1:1" s="7" customFormat="1" x14ac:dyDescent="0.25">
      <c r="A196" s="4"/>
    </row>
    <row r="197" spans="1:1" s="7" customFormat="1" x14ac:dyDescent="0.25">
      <c r="A197" s="4"/>
    </row>
    <row r="198" spans="1:1" s="7" customFormat="1" x14ac:dyDescent="0.25">
      <c r="A198" s="4"/>
    </row>
    <row r="199" spans="1:1" s="7" customFormat="1" x14ac:dyDescent="0.25">
      <c r="A199" s="4"/>
    </row>
    <row r="200" spans="1:1" s="7" customFormat="1" x14ac:dyDescent="0.25">
      <c r="A200" s="4"/>
    </row>
    <row r="201" spans="1:1" s="7" customFormat="1" x14ac:dyDescent="0.25">
      <c r="A201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CB9C8-86D9-43D8-9901-44822B8D4B2C}">
  <dimension ref="A2:S201"/>
  <sheetViews>
    <sheetView showGridLines="0" showRowColHeaders="0" zoomScale="90" zoomScaleNormal="90" workbookViewId="0">
      <selection activeCell="B6" sqref="B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27.7109375" style="4" customWidth="1"/>
    <col min="2" max="2" width="3.5703125" customWidth="1"/>
    <col min="12" max="12" width="6.5703125" customWidth="1"/>
  </cols>
  <sheetData>
    <row r="2" spans="1:19" ht="33.75" customHeight="1" thickBot="1" x14ac:dyDescent="0.5">
      <c r="C2" s="19" t="s">
        <v>331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8.75" customHeight="1" thickTop="1" x14ac:dyDescent="0.25"/>
    <row r="4" spans="1:19" s="7" customFormat="1" ht="1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33" customHeight="1" x14ac:dyDescent="0.25">
      <c r="A8" s="21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  <row r="162" spans="1:1" s="7" customFormat="1" x14ac:dyDescent="0.25">
      <c r="A162" s="4"/>
    </row>
    <row r="163" spans="1:1" s="7" customFormat="1" x14ac:dyDescent="0.25">
      <c r="A163" s="4"/>
    </row>
    <row r="164" spans="1:1" s="7" customFormat="1" x14ac:dyDescent="0.25">
      <c r="A164" s="4"/>
    </row>
    <row r="165" spans="1:1" s="7" customFormat="1" x14ac:dyDescent="0.25">
      <c r="A165" s="4"/>
    </row>
    <row r="166" spans="1:1" s="7" customFormat="1" x14ac:dyDescent="0.25">
      <c r="A166" s="4"/>
    </row>
    <row r="167" spans="1:1" s="7" customFormat="1" x14ac:dyDescent="0.25">
      <c r="A167" s="4"/>
    </row>
    <row r="168" spans="1:1" s="7" customFormat="1" x14ac:dyDescent="0.25">
      <c r="A168" s="4"/>
    </row>
    <row r="169" spans="1:1" s="7" customFormat="1" x14ac:dyDescent="0.25">
      <c r="A169" s="4"/>
    </row>
    <row r="170" spans="1:1" s="7" customFormat="1" x14ac:dyDescent="0.25">
      <c r="A170" s="4"/>
    </row>
    <row r="171" spans="1:1" s="7" customFormat="1" x14ac:dyDescent="0.25">
      <c r="A171" s="4"/>
    </row>
    <row r="172" spans="1:1" s="7" customFormat="1" x14ac:dyDescent="0.25">
      <c r="A172" s="4"/>
    </row>
    <row r="173" spans="1:1" s="7" customFormat="1" x14ac:dyDescent="0.25">
      <c r="A173" s="4"/>
    </row>
    <row r="174" spans="1:1" s="7" customFormat="1" x14ac:dyDescent="0.25">
      <c r="A174" s="4"/>
    </row>
    <row r="175" spans="1:1" s="7" customFormat="1" x14ac:dyDescent="0.25">
      <c r="A175" s="4"/>
    </row>
    <row r="176" spans="1:1" s="7" customFormat="1" x14ac:dyDescent="0.25">
      <c r="A176" s="4"/>
    </row>
    <row r="177" spans="1:1" s="7" customFormat="1" x14ac:dyDescent="0.25">
      <c r="A177" s="4"/>
    </row>
    <row r="178" spans="1:1" s="7" customFormat="1" x14ac:dyDescent="0.25">
      <c r="A178" s="4"/>
    </row>
    <row r="179" spans="1:1" s="7" customFormat="1" x14ac:dyDescent="0.25">
      <c r="A179" s="4"/>
    </row>
    <row r="180" spans="1:1" s="7" customFormat="1" x14ac:dyDescent="0.25">
      <c r="A180" s="4"/>
    </row>
    <row r="181" spans="1:1" s="7" customFormat="1" x14ac:dyDescent="0.25">
      <c r="A181" s="4"/>
    </row>
    <row r="182" spans="1:1" s="7" customFormat="1" x14ac:dyDescent="0.25">
      <c r="A182" s="4"/>
    </row>
    <row r="183" spans="1:1" s="7" customFormat="1" x14ac:dyDescent="0.25">
      <c r="A183" s="4"/>
    </row>
    <row r="184" spans="1:1" s="7" customFormat="1" x14ac:dyDescent="0.25">
      <c r="A184" s="4"/>
    </row>
    <row r="185" spans="1:1" s="7" customFormat="1" x14ac:dyDescent="0.25">
      <c r="A185" s="4"/>
    </row>
    <row r="186" spans="1:1" s="7" customFormat="1" x14ac:dyDescent="0.25">
      <c r="A186" s="4"/>
    </row>
    <row r="187" spans="1:1" s="7" customFormat="1" x14ac:dyDescent="0.25">
      <c r="A187" s="4"/>
    </row>
    <row r="188" spans="1:1" s="7" customFormat="1" x14ac:dyDescent="0.25">
      <c r="A188" s="4"/>
    </row>
    <row r="189" spans="1:1" s="7" customFormat="1" x14ac:dyDescent="0.25">
      <c r="A189" s="4"/>
    </row>
    <row r="190" spans="1:1" s="7" customFormat="1" x14ac:dyDescent="0.25">
      <c r="A190" s="4"/>
    </row>
    <row r="191" spans="1:1" s="7" customFormat="1" x14ac:dyDescent="0.25">
      <c r="A191" s="4"/>
    </row>
    <row r="192" spans="1:1" s="7" customFormat="1" x14ac:dyDescent="0.25">
      <c r="A192" s="4"/>
    </row>
    <row r="193" spans="1:1" s="7" customFormat="1" x14ac:dyDescent="0.25">
      <c r="A193" s="4"/>
    </row>
    <row r="194" spans="1:1" s="7" customFormat="1" x14ac:dyDescent="0.25">
      <c r="A194" s="4"/>
    </row>
    <row r="195" spans="1:1" s="7" customFormat="1" x14ac:dyDescent="0.25">
      <c r="A195" s="4"/>
    </row>
    <row r="196" spans="1:1" s="7" customFormat="1" x14ac:dyDescent="0.25">
      <c r="A196" s="4"/>
    </row>
    <row r="197" spans="1:1" s="7" customFormat="1" x14ac:dyDescent="0.25">
      <c r="A197" s="4"/>
    </row>
    <row r="198" spans="1:1" s="7" customFormat="1" x14ac:dyDescent="0.25">
      <c r="A198" s="4"/>
    </row>
    <row r="199" spans="1:1" s="7" customFormat="1" x14ac:dyDescent="0.25">
      <c r="A199" s="4"/>
    </row>
    <row r="200" spans="1:1" s="7" customFormat="1" x14ac:dyDescent="0.25">
      <c r="A200" s="4"/>
    </row>
    <row r="201" spans="1:1" s="7" customFormat="1" x14ac:dyDescent="0.25">
      <c r="A201" s="4"/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B̳ases</vt:lpstr>
      <vt:lpstr>C̳álculos</vt:lpstr>
      <vt:lpstr>D̳ashboard</vt:lpstr>
      <vt:lpstr>Planos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NIKSON CALAZANS DE MORAES</cp:lastModifiedBy>
  <dcterms:created xsi:type="dcterms:W3CDTF">2024-12-19T13:13:10Z</dcterms:created>
  <dcterms:modified xsi:type="dcterms:W3CDTF">2026-02-14T11:34:38Z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